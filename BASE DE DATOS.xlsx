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56EEF4C1-FB27-406C-9DD0-4949BCBF9368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DATOS'!$B$4:$J$66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I58" i="1"/>
  <c r="J58" i="1" s="1"/>
  <c r="K58" i="1" s="1"/>
  <c r="I59" i="1"/>
  <c r="J59" i="1" s="1"/>
  <c r="K59" i="1" s="1"/>
  <c r="I60" i="1"/>
  <c r="J60" i="1" s="1"/>
  <c r="K60" i="1" s="1"/>
  <c r="J57" i="1"/>
  <c r="K57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<sst xmlns="http://schemas.openxmlformats.org/spreadsheetml/2006/main" count="240" uniqueCount="59">
  <si>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</si>
  <si>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</si>
  <si>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</si>
  <si>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</si>
  <si>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</si>
  <si>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</si>
  <si>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</si>
  <si>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</si>
  <si>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</si>
  <si>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</si>
  <si>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</si>
  <si>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</si>
  <si>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</si>
  <si>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</si>
  <si>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</si>
  <si>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</si>
  <si>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</si>
  <si>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</si>
  <si>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</si>
  <si>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</si>
  <si>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</si>
  <si>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</si>
  <si>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</si>
  <si>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</si>
  <si>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</si>
  <si>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</si>
  <si>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</si>
  <si>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</si>
  <si>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</si>
  <si>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</si>
  <si>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</si>
  <si>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</si>
  <si>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Falla por falta de caída de SAS por gravedad sin NG Op.200</t>
  </si>
  <si>
    <t>Dispensado de Grasa No Uniforme en Engrane sin NG Op.200</t>
  </si>
  <si>
    <t>Sensor no detecta mesa giratoria Op.400</t>
  </si>
  <si>
    <t>Falla en inspección visual de Ruteo de Arnes Op.700</t>
  </si>
  <si>
    <t>Falla en alimentador de Tornillos Op.800</t>
  </si>
  <si>
    <t>Falla de inspección visual en Mordaza Métalica sin NG Op.100</t>
  </si>
  <si>
    <t>Falla de Etiqueta por Guarda sin NG Op.300</t>
  </si>
  <si>
    <t>Falla de inspección visual  Op.600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</si>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</sst>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66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66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28"/>
  <sheetViews>
    <sheetView tabSelected="1" topLeftCell="A43" zoomScale="84" zoomScaleNormal="110" workbookViewId="0">
      <selection activeCell="H71" sqref="H71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6.109375" style="1" customWidth="1"/>
    <col min="19" max="19" width="13" style="1" bestFit="1" customWidth="1"/>
  </cols>
  <sheetData>
    <row r="1" spans="2:19" ht="14.4" customHeight="1" x14ac:dyDescent="0.3">
      <c r="B1" s="11" t="s">
        <v>14</v>
      </c>
      <c r="C1" s="11"/>
      <c r="D1" s="11"/>
      <c r="E1" s="11"/>
      <c r="F1" s="11"/>
      <c r="G1" s="11"/>
      <c r="H1" s="11"/>
      <c r="I1" s="11"/>
      <c r="J1" s="11"/>
      <c r="K1" s="6"/>
      <c r="M1" s="11" t="s">
        <v>13</v>
      </c>
      <c r="N1" s="11"/>
      <c r="O1" s="11"/>
      <c r="P1" s="11"/>
      <c r="Q1" s="11"/>
      <c r="R1" s="11"/>
      <c r="S1" s="11"/>
    </row>
    <row r="2" spans="2:19" ht="14.4" customHeight="1" x14ac:dyDescent="0.3">
      <c r="B2" s="11"/>
      <c r="C2" s="11"/>
      <c r="D2" s="11"/>
      <c r="E2" s="11"/>
      <c r="F2" s="11"/>
      <c r="G2" s="11"/>
      <c r="H2" s="11"/>
      <c r="I2" s="11"/>
      <c r="J2" s="11"/>
      <c r="K2" s="6"/>
      <c r="M2" s="11"/>
      <c r="N2" s="11"/>
      <c r="O2" s="11"/>
      <c r="P2" s="11"/>
      <c r="Q2" s="11"/>
      <c r="R2" s="11"/>
      <c r="S2" s="11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Row],[Fecha]])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Row],[Fecha]])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Row],[Fecha]])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Row],[Fecha]])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Row],[Fecha]])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Row],[Fecha]])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Row],[Fecha]])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Row],[Fecha]])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Row],[Fecha]])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Row],[Fecha]])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Row],[Fecha]])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Row],[Fecha]])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Row],[Fecha]])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Row],[Fecha]])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Row],[Fecha]])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Row],[Fecha]])</f>
        <v>31</v>
      </c>
      <c r="O20" s="1" t="s">
        <v>30</v>
      </c>
      <c r="P20" s="1">
        <v>200</v>
      </c>
      <c r="Q20" s="9">
        <v>12289497</v>
      </c>
      <c r="R20" s="1" t="s">
        <v>43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Row],[Fecha]])</f>
        <v>31</v>
      </c>
      <c r="O21" s="1" t="s">
        <v>30</v>
      </c>
      <c r="P21" s="1">
        <v>200</v>
      </c>
      <c r="Q21" s="9">
        <v>12289497</v>
      </c>
      <c r="R21" s="1" t="s">
        <v>32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Row],[Fecha]])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Row],[Fecha]])</f>
        <v>31</v>
      </c>
      <c r="O23" s="1" t="s">
        <v>30</v>
      </c>
      <c r="P23" s="1">
        <v>200</v>
      </c>
      <c r="Q23" s="9">
        <v>12289497</v>
      </c>
      <c r="R23" s="1" t="s">
        <v>33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Row],[Fecha]])</f>
        <v>31</v>
      </c>
      <c r="O24" s="1" t="s">
        <v>30</v>
      </c>
      <c r="P24" s="1">
        <v>400</v>
      </c>
      <c r="Q24" s="9">
        <v>12289497</v>
      </c>
      <c r="R24" s="1" t="s">
        <v>34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Row],[Fecha]])</f>
        <v>31</v>
      </c>
      <c r="O25" s="1" t="s">
        <v>30</v>
      </c>
      <c r="P25" s="1">
        <v>700</v>
      </c>
      <c r="Q25" s="9">
        <v>12289497</v>
      </c>
      <c r="R25" s="1" t="s">
        <v>35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Row],[Fecha]])</f>
        <v>31</v>
      </c>
      <c r="O26" s="1" t="s">
        <v>30</v>
      </c>
      <c r="P26" s="1">
        <v>800</v>
      </c>
      <c r="Q26" s="9">
        <v>12289497</v>
      </c>
      <c r="R26" s="1" t="s">
        <v>36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Row],[Fecha]])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Row],[Fecha]])</f>
        <v>31</v>
      </c>
      <c r="O28" s="1" t="s">
        <v>30</v>
      </c>
      <c r="P28" s="1">
        <v>100</v>
      </c>
      <c r="Q28" s="9">
        <v>12289475</v>
      </c>
      <c r="R28" s="1" t="s">
        <v>37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Row],[Fecha]])</f>
        <v>31</v>
      </c>
      <c r="O29" s="1" t="s">
        <v>30</v>
      </c>
      <c r="P29" s="1">
        <v>300</v>
      </c>
      <c r="Q29" s="9">
        <v>12289475</v>
      </c>
      <c r="R29" s="1" t="s">
        <v>38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Row],[Fecha]])</f>
        <v>31</v>
      </c>
      <c r="O30" s="1" t="s">
        <v>30</v>
      </c>
      <c r="P30" s="1">
        <v>400</v>
      </c>
      <c r="Q30" s="9">
        <v>12289475</v>
      </c>
      <c r="R30" s="1" t="s">
        <v>34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Row],[Fecha]])</f>
        <v>31</v>
      </c>
      <c r="O31" s="1" t="s">
        <v>30</v>
      </c>
      <c r="P31" s="1">
        <v>600</v>
      </c>
      <c r="Q31" s="9">
        <v>12289475</v>
      </c>
      <c r="R31" s="1" t="s">
        <v>39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Row],[Fecha]])</f>
        <v>31</v>
      </c>
      <c r="O32" s="1" t="s">
        <v>30</v>
      </c>
      <c r="P32" s="1">
        <v>600</v>
      </c>
      <c r="Q32" s="9">
        <v>12289475</v>
      </c>
      <c r="R32" s="1" t="s">
        <v>40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Row],[Fecha]])</f>
        <v>31</v>
      </c>
      <c r="O33" s="1" t="s">
        <v>30</v>
      </c>
      <c r="P33" s="1">
        <v>700</v>
      </c>
      <c r="Q33" s="9">
        <v>12289475</v>
      </c>
      <c r="R33" s="1" t="s">
        <v>42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Row],[Fecha]])</f>
        <v>31</v>
      </c>
      <c r="O34" s="1" t="s">
        <v>30</v>
      </c>
      <c r="P34" s="1">
        <v>700</v>
      </c>
      <c r="Q34" s="9">
        <v>12289475</v>
      </c>
      <c r="R34" s="1" t="s">
        <v>41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Row],[Fecha]])</f>
        <v>32</v>
      </c>
      <c r="O35" s="1" t="s">
        <v>30</v>
      </c>
      <c r="P35" s="1">
        <v>200</v>
      </c>
      <c r="Q35" s="9">
        <v>12289497</v>
      </c>
      <c r="R35" s="1" t="s">
        <v>43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Row],[Fecha]])</f>
        <v>32</v>
      </c>
      <c r="O36" s="1" t="s">
        <v>30</v>
      </c>
      <c r="P36" s="1">
        <v>200</v>
      </c>
      <c r="Q36" s="9">
        <v>12289497</v>
      </c>
      <c r="R36" s="1" t="s">
        <v>44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Row],[Fecha]])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Row],[Fecha]])</f>
        <v>32</v>
      </c>
      <c r="O38" s="1" t="s">
        <v>30</v>
      </c>
      <c r="P38" s="1">
        <v>100</v>
      </c>
      <c r="Q38" s="9">
        <v>12289497</v>
      </c>
      <c r="R38" s="1" t="s">
        <v>37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Row],[Fecha]])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Row],[Fecha]])</f>
        <v>32</v>
      </c>
      <c r="O40" s="1" t="s">
        <v>30</v>
      </c>
      <c r="P40" s="1">
        <v>100</v>
      </c>
      <c r="Q40" s="9">
        <v>12289497</v>
      </c>
      <c r="R40" s="1" t="s">
        <v>37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Row],[Fecha]])</f>
        <v>32</v>
      </c>
      <c r="O41" s="1" t="s">
        <v>30</v>
      </c>
      <c r="P41" s="1">
        <v>500</v>
      </c>
      <c r="Q41" s="9">
        <v>12289497</v>
      </c>
      <c r="R41" s="1" t="s">
        <v>45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2">
        <f>WEEKNUM(Tabla2610[[#This Row],[Fecha]])</f>
        <v>31</v>
      </c>
      <c r="O42" s="1" t="s">
        <v>15</v>
      </c>
      <c r="P42" s="1">
        <v>100</v>
      </c>
      <c r="Q42" s="9">
        <v>10532587</v>
      </c>
      <c r="R42" s="1" t="s">
        <v>46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2">
        <f>WEEKNUM(Tabla2610[[#This Row],[Fecha]])</f>
        <v>31</v>
      </c>
      <c r="O43" s="1" t="s">
        <v>15</v>
      </c>
      <c r="P43" s="1">
        <v>100</v>
      </c>
      <c r="Q43" s="9">
        <v>10532587</v>
      </c>
      <c r="R43" s="1" t="s">
        <v>47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2">
        <f>WEEKNUM(Tabla2610[[#This Row],[Fecha]])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2">
        <f>WEEKNUM(Tabla2610[[#This Row],[Fecha]])</f>
        <v>31</v>
      </c>
      <c r="O45" s="1" t="s">
        <v>15</v>
      </c>
      <c r="P45" s="1">
        <v>200</v>
      </c>
      <c r="Q45" s="9">
        <v>10532587</v>
      </c>
      <c r="R45" s="1" t="s">
        <v>48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2">
        <f>WEEKNUM(Tabla2610[[#This Row],[Fecha]])</f>
        <v>31</v>
      </c>
      <c r="O46" s="1" t="s">
        <v>15</v>
      </c>
      <c r="P46" s="1">
        <v>200</v>
      </c>
      <c r="Q46" s="9">
        <v>10532587</v>
      </c>
      <c r="R46" s="1" t="s">
        <v>49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2">
        <f>WEEKNUM(Tabla2610[[#This Row],[Fecha]])</f>
        <v>31</v>
      </c>
      <c r="O47" s="1" t="s">
        <v>15</v>
      </c>
      <c r="P47" s="1">
        <v>300</v>
      </c>
      <c r="Q47" s="9">
        <v>10532587</v>
      </c>
      <c r="R47" s="1" t="s">
        <v>50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2">
        <f>WEEKNUM(Tabla2610[[#This Row],[Fecha]])</f>
        <v>31</v>
      </c>
      <c r="O48" s="1" t="s">
        <v>15</v>
      </c>
      <c r="P48" s="1" t="s">
        <v>16</v>
      </c>
      <c r="Q48" s="9">
        <v>10532587</v>
      </c>
      <c r="R48" s="1" t="s">
        <v>51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2">
        <f>WEEKNUM(Tabla2610[[#This Row],[Fecha]])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2">
        <f>WEEKNUM(Tabla2610[[#This Row],[Fecha]])</f>
        <v>31</v>
      </c>
      <c r="O50" s="1" t="s">
        <v>15</v>
      </c>
      <c r="P50" s="1" t="s">
        <v>16</v>
      </c>
      <c r="Q50" s="9">
        <v>10532587</v>
      </c>
      <c r="R50" s="1" t="s">
        <v>52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2">
        <f>WEEKNUM(Tabla2610[[#This Row],[Fecha]])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2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2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2">
        <f>WEEKNUM(Tabla2610[[#This Row],[Fecha]])</f>
        <v>32</v>
      </c>
      <c r="O52" s="1" t="s">
        <v>15</v>
      </c>
      <c r="P52" s="1">
        <v>100</v>
      </c>
      <c r="Q52" s="9">
        <v>10532587</v>
      </c>
      <c r="R52" s="1" t="s">
        <v>53</v>
      </c>
      <c r="S52" s="1">
        <v>9</v>
      </c>
    </row>
    <row r="53" spans="2:19" x14ac:dyDescent="0.3">
      <c r="B53" s="4">
        <v>46232</v>
      </c>
      <c r="C53" s="12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2">
        <f t="shared" si="7"/>
        <v>0.91428571428571426</v>
      </c>
      <c r="K53" s="5">
        <f>Tabla158[[#This Row],[FTQ]]</f>
        <v>0.91428571428571426</v>
      </c>
      <c r="M53" s="4">
        <v>46239</v>
      </c>
      <c r="N53" s="12">
        <f>WEEKNUM(Tabla2610[[#This Row],[Fecha]])</f>
        <v>32</v>
      </c>
      <c r="O53" s="1" t="s">
        <v>15</v>
      </c>
      <c r="P53" s="1">
        <v>100</v>
      </c>
      <c r="Q53" s="9">
        <v>10532587</v>
      </c>
      <c r="R53" s="1" t="s">
        <v>47</v>
      </c>
      <c r="S53" s="1">
        <v>5</v>
      </c>
    </row>
    <row r="54" spans="2:19" x14ac:dyDescent="0.3">
      <c r="B54" s="4">
        <v>46232</v>
      </c>
      <c r="C54" s="12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2">
        <f t="shared" si="7"/>
        <v>0.84761904761904761</v>
      </c>
      <c r="K54" s="5">
        <f>Tabla158[[#This Row],[FTQ]]</f>
        <v>0.84761904761904761</v>
      </c>
      <c r="M54" s="4">
        <v>46239</v>
      </c>
      <c r="N54" s="12">
        <f>WEEKNUM(Tabla2610[[#This Row],[Fecha]])</f>
        <v>32</v>
      </c>
      <c r="O54" s="1" t="s">
        <v>15</v>
      </c>
      <c r="P54" s="1">
        <v>200</v>
      </c>
      <c r="Q54" s="9">
        <v>10532587</v>
      </c>
      <c r="R54" s="1" t="s">
        <v>48</v>
      </c>
      <c r="S54" s="1">
        <v>18</v>
      </c>
    </row>
    <row r="55" spans="2:19" x14ac:dyDescent="0.3">
      <c r="B55" s="4">
        <v>46232</v>
      </c>
      <c r="C55" s="12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2">
        <f t="shared" si="7"/>
        <v>0.94059405940594054</v>
      </c>
      <c r="K55" s="5">
        <f>Tabla158[[#This Row],[FTQ]]</f>
        <v>0.94059405940594054</v>
      </c>
      <c r="M55" s="4">
        <v>46237</v>
      </c>
      <c r="N55" s="12">
        <f>WEEKNUM(Tabla2610[[#This Row],[Fecha]])</f>
        <v>32</v>
      </c>
      <c r="O55" s="1" t="s">
        <v>15</v>
      </c>
      <c r="P55" s="1">
        <v>300</v>
      </c>
      <c r="Q55" s="9">
        <v>10532587</v>
      </c>
      <c r="R55" s="1" t="s">
        <v>50</v>
      </c>
      <c r="S55" s="1">
        <v>6</v>
      </c>
    </row>
    <row r="56" spans="2:19" x14ac:dyDescent="0.3">
      <c r="B56" s="4">
        <v>46232</v>
      </c>
      <c r="C56" s="12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2">
        <f t="shared" si="7"/>
        <v>0.2931034482758621</v>
      </c>
      <c r="K56" s="5">
        <f>Tabla158[[#This Row],[FTQ]]</f>
        <v>0.2931034482758621</v>
      </c>
      <c r="M56" s="4">
        <v>46239</v>
      </c>
      <c r="N56" s="12">
        <f>WEEKNUM(Tabla2610[[#This Row],[Fecha]])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2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2">
        <f t="shared" si="7"/>
        <v>1</v>
      </c>
      <c r="K57" s="5">
        <f>Tabla158[[#This Row],[FTQ]]</f>
        <v>1</v>
      </c>
      <c r="M57" s="4">
        <v>46239</v>
      </c>
      <c r="N57" s="12">
        <f>WEEKNUM(Tabla2610[[#This Row],[Fecha]])</f>
        <v>32</v>
      </c>
      <c r="O57" s="1" t="s">
        <v>15</v>
      </c>
      <c r="P57" s="1">
        <v>300</v>
      </c>
      <c r="Q57" s="9">
        <v>10532587</v>
      </c>
      <c r="R57" s="1" t="s">
        <v>50</v>
      </c>
      <c r="S57" s="1">
        <v>2</v>
      </c>
    </row>
    <row r="58" spans="2:19" x14ac:dyDescent="0.3">
      <c r="B58" s="4">
        <v>46237</v>
      </c>
      <c r="C58" s="12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2">
        <f t="shared" si="7"/>
        <v>1</v>
      </c>
      <c r="K58" s="5">
        <f>Tabla158[[#This Row],[FTQ]]</f>
        <v>1</v>
      </c>
      <c r="M58" s="4">
        <v>46237</v>
      </c>
      <c r="N58" s="12">
        <f>WEEKNUM(Tabla2610[[#This Row],[Fecha]])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2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2">
        <f t="shared" si="7"/>
        <v>1</v>
      </c>
      <c r="K59" s="5">
        <f>Tabla158[[#This Row],[FTQ]]</f>
        <v>1</v>
      </c>
      <c r="M59" s="4">
        <v>46237</v>
      </c>
      <c r="N59" s="12">
        <f>WEEKNUM(Tabla2610[[#This Row],[Fecha]])</f>
        <v>32</v>
      </c>
      <c r="O59" s="1" t="s">
        <v>15</v>
      </c>
      <c r="P59" s="1" t="s">
        <v>16</v>
      </c>
      <c r="Q59" s="9">
        <v>10532587</v>
      </c>
      <c r="R59" s="1" t="s">
        <v>51</v>
      </c>
      <c r="S59" s="1">
        <v>10</v>
      </c>
    </row>
    <row r="60" spans="2:19" x14ac:dyDescent="0.3">
      <c r="B60" s="4">
        <v>46237</v>
      </c>
      <c r="C60" s="12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2">
        <f t="shared" si="7"/>
        <v>0.96551724137931039</v>
      </c>
      <c r="K60" s="5">
        <f>Tabla158[[#This Row],[FTQ]]</f>
        <v>0.96551724137931039</v>
      </c>
      <c r="M60" s="4">
        <v>46237</v>
      </c>
      <c r="N60" s="12">
        <f>WEEKNUM(Tabla2610[[#This Row],[Fecha]])</f>
        <v>32</v>
      </c>
      <c r="O60" s="1" t="s">
        <v>15</v>
      </c>
      <c r="P60" s="1" t="s">
        <v>16</v>
      </c>
      <c r="Q60" s="9">
        <v>10532587</v>
      </c>
      <c r="R60" s="1" t="s">
        <v>54</v>
      </c>
      <c r="S60" s="1">
        <v>2</v>
      </c>
    </row>
    <row r="61" spans="2:19" x14ac:dyDescent="0.3">
      <c r="B61" s="4">
        <v>46237</v>
      </c>
      <c r="C61" s="12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2">
        <f>ABS(G$3-I61)</f>
        <v>0.84</v>
      </c>
      <c r="K61" s="5">
        <f>Tabla158[[#This Row],[FTQ]]</f>
        <v>0.84</v>
      </c>
      <c r="M61" s="4">
        <v>46237</v>
      </c>
      <c r="N61" s="12">
        <f>WEEKNUM(Tabla2610[[#This Row],[Fecha]])</f>
        <v>32</v>
      </c>
      <c r="O61" s="1" t="s">
        <v>15</v>
      </c>
      <c r="P61" s="1" t="s">
        <v>16</v>
      </c>
      <c r="Q61" s="9">
        <v>10532587</v>
      </c>
      <c r="R61" s="1" t="s">
        <v>55</v>
      </c>
      <c r="S61" s="1">
        <v>2</v>
      </c>
    </row>
    <row r="62" spans="2:19" x14ac:dyDescent="0.3">
      <c r="B62" s="4">
        <v>46239</v>
      </c>
      <c r="C62" s="12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2">
        <f t="shared" ref="J62:J67" si="8">ABS(G$3-I62)</f>
        <v>0.9360730593607306</v>
      </c>
      <c r="K62" s="5">
        <f>Tabla158[[#This Row],[FTQ]]</f>
        <v>0.9360730593607306</v>
      </c>
      <c r="M62" s="4">
        <v>46237</v>
      </c>
      <c r="N62" s="12">
        <f>WEEKNUM(Tabla2610[[#This Row],[Fecha]])</f>
        <v>32</v>
      </c>
      <c r="O62" s="1" t="s">
        <v>15</v>
      </c>
      <c r="P62" s="1" t="s">
        <v>16</v>
      </c>
      <c r="Q62" s="9">
        <v>10532587</v>
      </c>
      <c r="R62" s="1" t="s">
        <v>56</v>
      </c>
      <c r="S62" s="1">
        <v>1</v>
      </c>
    </row>
    <row r="63" spans="2:19" x14ac:dyDescent="0.3">
      <c r="B63" s="4">
        <v>46239</v>
      </c>
      <c r="C63" s="12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2">
        <f t="shared" si="8"/>
        <v>1</v>
      </c>
      <c r="K63" s="5">
        <f>Tabla158[[#This Row],[FTQ]]</f>
        <v>1</v>
      </c>
      <c r="M63" s="4">
        <v>46237</v>
      </c>
      <c r="N63" s="12">
        <f>WEEKNUM(Tabla2610[[#This Row],[Fecha]])</f>
        <v>32</v>
      </c>
      <c r="O63" s="1" t="s">
        <v>15</v>
      </c>
      <c r="P63" s="1" t="s">
        <v>16</v>
      </c>
      <c r="Q63" s="9">
        <v>10532587</v>
      </c>
      <c r="R63" s="1" t="s">
        <v>57</v>
      </c>
      <c r="S63" s="1">
        <v>1</v>
      </c>
    </row>
    <row r="64" spans="2:19" x14ac:dyDescent="0.3">
      <c r="B64" s="4">
        <v>46239</v>
      </c>
      <c r="C64" s="12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2">
        <f t="shared" si="8"/>
        <v>0.91666666666666663</v>
      </c>
      <c r="K64" s="5">
        <f>Tabla158[[#This Row],[FTQ]]</f>
        <v>0.91666666666666663</v>
      </c>
      <c r="M64" s="4">
        <v>46239</v>
      </c>
      <c r="N64" s="12">
        <f>WEEKNUM(Tabla2610[[#This Row],[Fecha]])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2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2">
        <f t="shared" si="8"/>
        <v>0.96190476190476193</v>
      </c>
      <c r="K65" s="5">
        <f>Tabla158[[#This Row],[FTQ]]</f>
        <v>0.96190476190476193</v>
      </c>
      <c r="M65" s="4">
        <v>46239</v>
      </c>
      <c r="N65" s="12">
        <f>WEEKNUM(Tabla2610[[#This Row],[Fecha]])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2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2">
        <f t="shared" si="8"/>
        <v>0.87165775401069512</v>
      </c>
      <c r="K66" s="5">
        <f>Tabla158[[#This Row],[FTQ]]</f>
        <v>0.87165775401069512</v>
      </c>
      <c r="M66" s="4">
        <v>46239</v>
      </c>
      <c r="N66" s="12">
        <f>WEEKNUM(Tabla2610[[#This Row],[Fecha]])</f>
        <v>32</v>
      </c>
      <c r="O66" s="1" t="s">
        <v>15</v>
      </c>
      <c r="P66" s="1" t="s">
        <v>16</v>
      </c>
      <c r="Q66" s="9">
        <v>10532587</v>
      </c>
      <c r="R66" s="1" t="s">
        <v>51</v>
      </c>
      <c r="S66" s="1">
        <v>10</v>
      </c>
    </row>
    <row r="67" spans="2:19" x14ac:dyDescent="0.3">
      <c r="B67" s="4"/>
      <c r="C67" s="12"/>
      <c r="F67" s="9"/>
      <c r="I67" s="3"/>
      <c r="J67" s="12"/>
      <c r="K67" s="5"/>
      <c r="M67" s="4"/>
    </row>
    <row r="68" spans="2:19" x14ac:dyDescent="0.3">
      <c r="B68" s="4"/>
      <c r="G68" s="1" t="s">
        <v>58</v>
      </c>
      <c r="I68" s="3"/>
      <c r="J68" s="1"/>
      <c r="K68" s="5"/>
      <c r="M68" s="4"/>
    </row>
    <row r="69" spans="2:19" x14ac:dyDescent="0.3">
      <c r="B69" s="4"/>
      <c r="I69" s="3"/>
      <c r="J69" s="1"/>
      <c r="K69" s="5"/>
      <c r="M69" s="4"/>
    </row>
    <row r="70" spans="2:19" x14ac:dyDescent="0.3">
      <c r="B70" s="4"/>
      <c r="I70" s="3"/>
      <c r="J70" s="1"/>
      <c r="K70" s="5"/>
      <c r="M70" s="4"/>
    </row>
    <row r="71" spans="2:19" x14ac:dyDescent="0.3">
      <c r="B71" s="4"/>
      <c r="I71" s="3"/>
      <c r="J71" s="1"/>
      <c r="K71" s="5"/>
      <c r="M71" s="4"/>
    </row>
    <row r="72" spans="2:19" x14ac:dyDescent="0.3">
      <c r="B72" s="4"/>
      <c r="I72" s="3"/>
      <c r="J72" s="1"/>
      <c r="K72" s="5"/>
      <c r="M72" s="4"/>
    </row>
    <row r="73" spans="2:19" x14ac:dyDescent="0.3">
      <c r="B73" s="4"/>
      <c r="I73" s="3"/>
      <c r="J73" s="1"/>
      <c r="K73" s="5"/>
      <c r="M73" s="4"/>
    </row>
    <row r="74" spans="2:19" x14ac:dyDescent="0.3">
      <c r="B74" s="4"/>
      <c r="I74" s="3"/>
      <c r="J74" s="1"/>
      <c r="K74" s="5"/>
      <c r="M74" s="4"/>
    </row>
    <row r="75" spans="2:19" x14ac:dyDescent="0.3">
      <c r="B75" s="4"/>
      <c r="I75" s="3"/>
      <c r="J75" s="1"/>
      <c r="K75" s="5"/>
      <c r="M75" s="4"/>
    </row>
    <row r="76" spans="2:19" x14ac:dyDescent="0.3">
      <c r="B76" s="4"/>
      <c r="I76" s="3"/>
      <c r="J76" s="1"/>
      <c r="K76" s="5"/>
      <c r="M76" s="4"/>
    </row>
    <row r="77" spans="2:19" x14ac:dyDescent="0.3">
      <c r="B77" s="4"/>
      <c r="I77" s="3"/>
      <c r="J77" s="1"/>
      <c r="K77" s="5"/>
      <c r="M77" s="4"/>
    </row>
    <row r="78" spans="2:19" x14ac:dyDescent="0.3">
      <c r="B78" s="4"/>
      <c r="I78" s="3"/>
      <c r="J78" s="1"/>
      <c r="K78" s="5"/>
      <c r="M78" s="4"/>
    </row>
    <row r="79" spans="2:19" x14ac:dyDescent="0.3">
      <c r="B79" s="4"/>
      <c r="I79" s="3"/>
      <c r="J79" s="1"/>
      <c r="K79" s="5"/>
      <c r="M79" s="4"/>
    </row>
    <row r="80" spans="2:19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  <c r="U219" s="1"/>
      <c r="V219" s="1"/>
    </row>
    <row r="220" spans="2:22" x14ac:dyDescent="0.3">
      <c r="B220" s="4"/>
      <c r="I220" s="3"/>
      <c r="J220" s="1"/>
      <c r="K220" s="5"/>
      <c r="M220" s="4"/>
      <c r="U220" s="1"/>
      <c r="V220" s="1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8"/>
    </row>
    <row r="237" spans="2:13" x14ac:dyDescent="0.3">
      <c r="B237" s="4"/>
      <c r="I237" s="3"/>
      <c r="J237" s="1"/>
      <c r="K237" s="5"/>
      <c r="M237" s="8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M280" s="4"/>
    </row>
    <row r="281" spans="2:13" x14ac:dyDescent="0.3">
      <c r="B281" s="4"/>
      <c r="I281" s="3"/>
      <c r="J281" s="1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A302" t="s">
        <v>0</v>
      </c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A342" t="s">
        <v>0</v>
      </c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8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A681" t="s">
        <v>0</v>
      </c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A687" t="s">
        <v>0</v>
      </c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A693" t="s">
        <v>0</v>
      </c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A699" t="s">
        <v>0</v>
      </c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A705" t="s">
        <v>0</v>
      </c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A711" t="s">
        <v>0</v>
      </c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A735" t="s">
        <v>0</v>
      </c>
      <c r="B735" s="4"/>
      <c r="I735" s="3"/>
      <c r="J735" s="1"/>
    </row>
    <row r="736" spans="1:10" x14ac:dyDescent="0.3">
      <c r="B736" s="4"/>
      <c r="I736" s="3"/>
      <c r="J736" s="1"/>
    </row>
    <row r="737" spans="2:10" x14ac:dyDescent="0.3">
      <c r="B737" s="4"/>
      <c r="I737" s="3"/>
      <c r="J737" s="1"/>
    </row>
    <row r="738" spans="2:10" x14ac:dyDescent="0.3">
      <c r="B738" s="4"/>
      <c r="I738" s="3"/>
      <c r="J738" s="1"/>
    </row>
    <row r="739" spans="2:10" x14ac:dyDescent="0.3">
      <c r="B739" s="4"/>
      <c r="I739" s="3"/>
      <c r="J739" s="1"/>
    </row>
    <row r="740" spans="2:10" x14ac:dyDescent="0.3">
      <c r="B740" s="4"/>
      <c r="I740" s="3"/>
      <c r="J740" s="1"/>
    </row>
    <row r="741" spans="2:10" x14ac:dyDescent="0.3">
      <c r="B741" s="4"/>
      <c r="I741" s="3"/>
      <c r="J741" s="1"/>
    </row>
    <row r="742" spans="2:10" x14ac:dyDescent="0.3">
      <c r="B742" s="4"/>
      <c r="I742" s="3"/>
      <c r="J742" s="1"/>
    </row>
    <row r="743" spans="2:10" x14ac:dyDescent="0.3">
      <c r="B743" s="4"/>
      <c r="I743" s="3"/>
      <c r="J743" s="1"/>
    </row>
    <row r="744" spans="2:10" x14ac:dyDescent="0.3">
      <c r="B744" s="4"/>
      <c r="I744" s="3"/>
      <c r="J744" s="1"/>
    </row>
    <row r="745" spans="2:10" x14ac:dyDescent="0.3">
      <c r="B745" s="4"/>
      <c r="I745" s="3"/>
      <c r="J745" s="1"/>
    </row>
    <row r="746" spans="2:10" x14ac:dyDescent="0.3">
      <c r="B746" s="4"/>
      <c r="I746" s="3"/>
      <c r="J746" s="1"/>
    </row>
    <row r="747" spans="2:10" x14ac:dyDescent="0.3">
      <c r="B747" s="4"/>
      <c r="I747" s="3"/>
      <c r="J747" s="1"/>
    </row>
    <row r="748" spans="2:10" x14ac:dyDescent="0.3">
      <c r="B748" s="4"/>
      <c r="I748" s="3"/>
      <c r="J748" s="1"/>
    </row>
    <row r="749" spans="2:10" x14ac:dyDescent="0.3">
      <c r="B749" s="4"/>
      <c r="I749" s="3"/>
      <c r="J749" s="1"/>
    </row>
    <row r="750" spans="2:10" x14ac:dyDescent="0.3">
      <c r="B750" s="4"/>
      <c r="I750" s="3"/>
      <c r="J750" s="1"/>
    </row>
    <row r="751" spans="2:10" x14ac:dyDescent="0.3">
      <c r="B751" s="4"/>
      <c r="I751" s="3"/>
      <c r="J751" s="1"/>
    </row>
    <row r="752" spans="2:10" x14ac:dyDescent="0.3">
      <c r="B752" s="4"/>
      <c r="I752" s="3"/>
      <c r="J752" s="1"/>
    </row>
    <row r="753" spans="1:10" x14ac:dyDescent="0.3">
      <c r="A753" t="s">
        <v>0</v>
      </c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G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2026-08-07T17:31:38Z</dcterms:modified>
</cp:coreProperties>
</file>