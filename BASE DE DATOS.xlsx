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J:\LAUNCH MANAGEMENT\1 KI\5_MB MMA\09_Information\10_FTQ\"/>
    </mc:Choice>
  </mc:AlternateContent>
  <xr:revisionPtr revIDLastSave="0" documentId="13_ncr:1_{C4D44759-09D7-4A13-BF59-33E41A7C989E}" xr6:coauthVersionLast="47" xr6:coauthVersionMax="47" xr10:uidLastSave="{00000000-0000-0000-0000-000000000000}"/>
  <bookViews>
    <workbookView xWindow="-108" yWindow="-108" windowWidth="23256" windowHeight="12456" xr2:uid="{439F1396-05A1-464E-A03B-8C77E5396FAA}"/>
  </bookViews>
  <sheets>
    <sheet name="BASE DE DATO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'BASE DE DATOS'!$B$4:$J$90</definedName>
    <definedName name="DATA_01">[1]Data_Lineal!$H$4:$Y$30</definedName>
    <definedName name="DB_01">#REF!</definedName>
    <definedName name="DB_CAP01">'[2]CAPACIDAD (1)'!$X$9:$AM$29</definedName>
    <definedName name="DB_FESTIVO_01">'[2]DB_FECHAS (2)'!$ET$9:$EU$227</definedName>
    <definedName name="DB_MAQ">[1]Data_Lineal!$AB$1:$IV$17</definedName>
    <definedName name="DB_VALOR_01">#REF!</definedName>
    <definedName name="DBAE_TARGET_02_SCRAP">#REF!</definedName>
    <definedName name="DBASE_01_SCRAP">#REF!</definedName>
    <definedName name="HORAS_DIA">#REF!</definedName>
    <definedName name="LINK_02">#REF!</definedName>
    <definedName name="LINK_A_MASTER_OAE1">'[3]AOE (3)'!$M$4:$AU$133</definedName>
    <definedName name="LINK_A_MASTER01">'[3]REPORTE (2)'!$M$4:$AU$133</definedName>
    <definedName name="LINK_A_MASTER02">'[3]REPORTE (2)'!$M$4:$AU$133</definedName>
    <definedName name="LINK_OAE_01">'[3]AOE (3)'!$M$4:$AU$167</definedName>
    <definedName name="LINK_OAEC_01">#REF!</definedName>
    <definedName name="LINK_OAEOLD_01">#REF!</definedName>
    <definedName name="LINK_OEEC_01">#REF!</definedName>
    <definedName name="LINK_OEEOLD_01">#REF!</definedName>
    <definedName name="PALLET">384</definedName>
    <definedName name="TIPO_CAMBIO_0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C90" i="1"/>
  <c r="I90" i="1"/>
  <c r="J90" i="1" s="1"/>
  <c r="K90" i="1" s="1"/>
  <c r="N83" i="1"/>
  <c r="N82" i="1"/>
  <c r="C88" i="1"/>
  <c r="I88" i="1"/>
  <c r="J88" i="1" s="1"/>
  <c r="K88" i="1" s="1"/>
  <c r="N81" i="1"/>
  <c r="N80" i="1"/>
  <c r="N79" i="1"/>
  <c r="N78" i="1"/>
  <c r="N77" i="1"/>
  <c r="N76" i="1"/>
  <c r="N75" i="1"/>
  <c r="N74" i="1"/>
  <c r="N73" i="1"/>
  <c r="N72" i="1"/>
  <c r="N71" i="1"/>
  <c r="C83" i="1"/>
  <c r="C84" i="1"/>
  <c r="C85" i="1"/>
  <c r="C86" i="1"/>
  <c r="C87" i="1"/>
  <c r="C89" i="1"/>
  <c r="I83" i="1"/>
  <c r="J83" i="1" s="1"/>
  <c r="K83" i="1" s="1"/>
  <c r="I84" i="1"/>
  <c r="J84" i="1" s="1"/>
  <c r="K84" i="1" s="1"/>
  <c r="I85" i="1"/>
  <c r="J85" i="1" s="1"/>
  <c r="K85" i="1" s="1"/>
  <c r="I86" i="1"/>
  <c r="J86" i="1" s="1"/>
  <c r="K86" i="1" s="1"/>
  <c r="I87" i="1"/>
  <c r="J87" i="1" s="1"/>
  <c r="K87" i="1" s="1"/>
  <c r="I89" i="1"/>
  <c r="J89" i="1" s="1"/>
  <c r="K89" i="1" s="1"/>
  <c r="C78" i="1"/>
  <c r="C79" i="1"/>
  <c r="C80" i="1"/>
  <c r="C81" i="1"/>
  <c r="C82" i="1"/>
  <c r="I78" i="1"/>
  <c r="J78" i="1" s="1"/>
  <c r="K78" i="1" s="1"/>
  <c r="I79" i="1"/>
  <c r="J79" i="1" s="1"/>
  <c r="K79" i="1" s="1"/>
  <c r="I80" i="1"/>
  <c r="J80" i="1" s="1"/>
  <c r="K80" i="1" s="1"/>
  <c r="I81" i="1"/>
  <c r="J81" i="1" s="1"/>
  <c r="K81" i="1" s="1"/>
  <c r="I82" i="1"/>
  <c r="J82" i="1" s="1"/>
  <c r="K82" i="1" s="1"/>
  <c r="N70" i="1"/>
  <c r="C77" i="1"/>
  <c r="I77" i="1"/>
  <c r="J77" i="1" s="1"/>
  <c r="K77" i="1" s="1"/>
  <c r="C76" i="1"/>
  <c r="I76" i="1"/>
  <c r="J76" i="1" s="1"/>
  <c r="K76" i="1" s="1"/>
  <c r="N68" i="1"/>
  <c r="N69" i="1"/>
  <c r="N67" i="1" l="1"/>
  <c r="C67" i="1"/>
  <c r="C68" i="1"/>
  <c r="C69" i="1"/>
  <c r="C70" i="1"/>
  <c r="C71" i="1"/>
  <c r="C72" i="1"/>
  <c r="C73" i="1"/>
  <c r="C74" i="1"/>
  <c r="C75" i="1"/>
  <c r="I67" i="1"/>
  <c r="J67" i="1" s="1"/>
  <c r="K67" i="1" s="1"/>
  <c r="I68" i="1"/>
  <c r="J68" i="1" s="1"/>
  <c r="K68" i="1" s="1"/>
  <c r="I69" i="1"/>
  <c r="J69" i="1" s="1"/>
  <c r="K69" i="1" s="1"/>
  <c r="I70" i="1"/>
  <c r="J70" i="1" s="1"/>
  <c r="K70" i="1" s="1"/>
  <c r="I71" i="1"/>
  <c r="J71" i="1" s="1"/>
  <c r="K71" i="1" s="1"/>
  <c r="I72" i="1"/>
  <c r="J72" i="1" s="1"/>
  <c r="K72" i="1" s="1"/>
  <c r="I73" i="1"/>
  <c r="J73" i="1" s="1"/>
  <c r="K73" i="1" s="1"/>
  <c r="I74" i="1"/>
  <c r="J74" i="1" s="1"/>
  <c r="K74" i="1" s="1"/>
  <c r="I75" i="1"/>
  <c r="J75" i="1" s="1"/>
  <c r="K75" i="1" s="1"/>
  <c r="N64" i="1"/>
  <c r="N65" i="1"/>
  <c r="N66" i="1"/>
  <c r="N60" i="1"/>
  <c r="N61" i="1"/>
  <c r="N62" i="1"/>
  <c r="N63" i="1"/>
  <c r="N58" i="1"/>
  <c r="N59" i="1"/>
  <c r="N55" i="1"/>
  <c r="N56" i="1"/>
  <c r="N57" i="1"/>
  <c r="N54" i="1"/>
  <c r="N52" i="1"/>
  <c r="N53" i="1"/>
  <c r="C62" i="1"/>
  <c r="C63" i="1"/>
  <c r="C64" i="1"/>
  <c r="C65" i="1"/>
  <c r="C66" i="1"/>
  <c r="I62" i="1"/>
  <c r="J62" i="1" s="1"/>
  <c r="K62" i="1" s="1"/>
  <c r="I63" i="1"/>
  <c r="J63" i="1" s="1"/>
  <c r="K63" i="1" s="1"/>
  <c r="I64" i="1"/>
  <c r="J64" i="1" s="1"/>
  <c r="K64" i="1" s="1"/>
  <c r="I65" i="1"/>
  <c r="J65" i="1" s="1"/>
  <c r="K65" i="1" s="1"/>
  <c r="I66" i="1"/>
  <c r="J66" i="1" s="1"/>
  <c r="K66" i="1" s="1"/>
  <c r="C61" i="1"/>
  <c r="I61" i="1"/>
  <c r="J61" i="1" s="1"/>
  <c r="K61" i="1" s="1"/>
  <c r="N48" i="1"/>
  <c r="N49" i="1"/>
  <c r="N50" i="1"/>
  <c r="N51" i="1"/>
  <c r="N47" i="1"/>
  <c r="N46" i="1"/>
  <c r="N45" i="1"/>
  <c r="N43" i="1"/>
  <c r="N44" i="1"/>
  <c r="N42" i="1"/>
  <c r="C52" i="1"/>
  <c r="C53" i="1"/>
  <c r="C54" i="1"/>
  <c r="C55" i="1"/>
  <c r="C56" i="1"/>
  <c r="C57" i="1"/>
  <c r="C58" i="1"/>
  <c r="C59" i="1"/>
  <c r="C60" i="1"/>
  <c r="I52" i="1"/>
  <c r="J52" i="1" s="1"/>
  <c r="K52" i="1" s="1"/>
  <c r="I53" i="1"/>
  <c r="J53" i="1" s="1"/>
  <c r="K53" i="1" s="1"/>
  <c r="I54" i="1"/>
  <c r="J54" i="1" s="1"/>
  <c r="K54" i="1" s="1"/>
  <c r="I55" i="1"/>
  <c r="J55" i="1" s="1"/>
  <c r="K55" i="1" s="1"/>
  <c r="I56" i="1"/>
  <c r="J56" i="1" s="1"/>
  <c r="K56" i="1" s="1"/>
  <c r="I57" i="1"/>
  <c r="J57" i="1" s="1"/>
  <c r="K57" i="1" s="1"/>
  <c r="I58" i="1"/>
  <c r="J58" i="1" s="1"/>
  <c r="K58" i="1" s="1"/>
  <c r="I59" i="1"/>
  <c r="J59" i="1" s="1"/>
  <c r="K59" i="1" s="1"/>
  <c r="I60" i="1"/>
  <c r="J60" i="1" s="1"/>
  <c r="K60" i="1" s="1"/>
  <c r="N41" i="1"/>
  <c r="N40" i="1"/>
  <c r="N39" i="1"/>
  <c r="N37" i="1"/>
  <c r="N38" i="1"/>
  <c r="N36" i="1"/>
  <c r="N35" i="1"/>
  <c r="N33" i="1"/>
  <c r="N34" i="1"/>
  <c r="N31" i="1"/>
  <c r="N32" i="1"/>
  <c r="N30" i="1"/>
  <c r="N29" i="1"/>
  <c r="N27" i="1"/>
  <c r="N28" i="1"/>
  <c r="N26" i="1"/>
  <c r="N25" i="1"/>
  <c r="N24" i="1"/>
  <c r="N23" i="1"/>
  <c r="N2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N20" i="1"/>
  <c r="N21" i="1"/>
  <c r="N19" i="1"/>
  <c r="I46" i="1"/>
  <c r="J46" i="1" s="1"/>
  <c r="K46" i="1" s="1"/>
  <c r="I47" i="1"/>
  <c r="J47" i="1" s="1"/>
  <c r="K47" i="1" s="1"/>
  <c r="I48" i="1"/>
  <c r="J48" i="1" s="1"/>
  <c r="K48" i="1" s="1"/>
  <c r="I49" i="1"/>
  <c r="J49" i="1" s="1"/>
  <c r="K49" i="1" s="1"/>
  <c r="I50" i="1"/>
  <c r="J50" i="1" s="1"/>
  <c r="K50" i="1" s="1"/>
  <c r="I51" i="1"/>
  <c r="J51" i="1" s="1"/>
  <c r="K51" i="1" s="1"/>
  <c r="I38" i="1"/>
  <c r="J38" i="1" s="1"/>
  <c r="K38" i="1" s="1"/>
  <c r="I39" i="1"/>
  <c r="J39" i="1" s="1"/>
  <c r="K39" i="1" s="1"/>
  <c r="I40" i="1"/>
  <c r="J40" i="1" s="1"/>
  <c r="K40" i="1" s="1"/>
  <c r="I41" i="1"/>
  <c r="J41" i="1" s="1"/>
  <c r="K41" i="1" s="1"/>
  <c r="I42" i="1"/>
  <c r="J42" i="1" s="1"/>
  <c r="K42" i="1" s="1"/>
  <c r="I43" i="1"/>
  <c r="J43" i="1" s="1"/>
  <c r="K43" i="1" s="1"/>
  <c r="I44" i="1"/>
  <c r="J44" i="1" s="1"/>
  <c r="K44" i="1" s="1"/>
  <c r="I45" i="1"/>
  <c r="J45" i="1" s="1"/>
  <c r="K45" i="1" s="1"/>
  <c r="I33" i="1"/>
  <c r="J33" i="1" s="1"/>
  <c r="K33" i="1" s="1"/>
  <c r="I34" i="1"/>
  <c r="J34" i="1" s="1"/>
  <c r="K34" i="1" s="1"/>
  <c r="I35" i="1"/>
  <c r="J35" i="1" s="1"/>
  <c r="K35" i="1" s="1"/>
  <c r="I36" i="1"/>
  <c r="J36" i="1" s="1"/>
  <c r="K36" i="1" s="1"/>
  <c r="I37" i="1"/>
  <c r="J37" i="1" s="1"/>
  <c r="K37" i="1" s="1"/>
  <c r="I25" i="1"/>
  <c r="J25" i="1" s="1"/>
  <c r="K25" i="1" s="1"/>
  <c r="I26" i="1"/>
  <c r="J26" i="1" s="1"/>
  <c r="K26" i="1" s="1"/>
  <c r="I27" i="1"/>
  <c r="J27" i="1" s="1"/>
  <c r="K27" i="1" s="1"/>
  <c r="I28" i="1"/>
  <c r="J28" i="1" s="1"/>
  <c r="K28" i="1" s="1"/>
  <c r="I29" i="1"/>
  <c r="J29" i="1" s="1"/>
  <c r="K29" i="1" s="1"/>
  <c r="I30" i="1"/>
  <c r="J30" i="1" s="1"/>
  <c r="K30" i="1" s="1"/>
  <c r="I31" i="1"/>
  <c r="J31" i="1" s="1"/>
  <c r="K31" i="1" s="1"/>
  <c r="I32" i="1"/>
  <c r="J32" i="1" s="1"/>
  <c r="K32" i="1" s="1"/>
  <c r="C14" i="1"/>
  <c r="C15" i="1"/>
  <c r="C16" i="1"/>
  <c r="C17" i="1"/>
  <c r="C18" i="1"/>
  <c r="C19" i="1"/>
  <c r="I14" i="1"/>
  <c r="J14" i="1" s="1"/>
  <c r="K14" i="1" s="1"/>
  <c r="I15" i="1"/>
  <c r="J15" i="1" s="1"/>
  <c r="K15" i="1" s="1"/>
  <c r="I16" i="1"/>
  <c r="J16" i="1" s="1"/>
  <c r="K16" i="1" s="1"/>
  <c r="I17" i="1"/>
  <c r="J17" i="1" s="1"/>
  <c r="K17" i="1" s="1"/>
  <c r="I18" i="1"/>
  <c r="J18" i="1" s="1"/>
  <c r="K18" i="1" s="1"/>
  <c r="I19" i="1"/>
  <c r="J19" i="1" s="1"/>
  <c r="K19" i="1" s="1"/>
  <c r="I20" i="1"/>
  <c r="J20" i="1" s="1"/>
  <c r="K20" i="1" s="1"/>
  <c r="I21" i="1"/>
  <c r="J21" i="1" s="1"/>
  <c r="K21" i="1" s="1"/>
  <c r="I22" i="1"/>
  <c r="J22" i="1" s="1"/>
  <c r="K22" i="1" s="1"/>
  <c r="I23" i="1"/>
  <c r="J23" i="1" s="1"/>
  <c r="K23" i="1" s="1"/>
  <c r="I24" i="1"/>
  <c r="J24" i="1" s="1"/>
  <c r="K24" i="1" s="1"/>
  <c r="N18" i="1"/>
  <c r="N12" i="1"/>
  <c r="N13" i="1"/>
  <c r="N14" i="1"/>
  <c r="N15" i="1"/>
  <c r="N16" i="1"/>
  <c r="N17" i="1"/>
  <c r="N11" i="1"/>
  <c r="N10" i="1"/>
  <c r="C13" i="1"/>
  <c r="I13" i="1"/>
  <c r="J13" i="1" s="1"/>
  <c r="K13" i="1" s="1"/>
  <c r="C10" i="1"/>
  <c r="C11" i="1"/>
  <c r="C12" i="1"/>
  <c r="I10" i="1"/>
  <c r="J10" i="1" s="1"/>
  <c r="K10" i="1" s="1"/>
  <c r="I11" i="1"/>
  <c r="J11" i="1" s="1"/>
  <c r="K11" i="1" s="1"/>
  <c r="I12" i="1"/>
  <c r="J12" i="1" s="1"/>
  <c r="K12" i="1" s="1"/>
  <c r="I6" i="1"/>
  <c r="J6" i="1" s="1"/>
  <c r="I7" i="1"/>
  <c r="J7" i="1" s="1"/>
  <c r="K7" i="1" s="1"/>
  <c r="I8" i="1"/>
  <c r="J8" i="1" s="1"/>
  <c r="K8" i="1" s="1"/>
  <c r="I9" i="1"/>
  <c r="J9" i="1" s="1"/>
  <c r="K9" i="1" s="1"/>
  <c r="N6" i="1"/>
  <c r="N7" i="1"/>
  <c r="N8" i="1"/>
  <c r="N9" i="1"/>
  <c r="C6" i="1"/>
  <c r="C7" i="1"/>
  <c r="C8" i="1"/>
  <c r="C9" i="1"/>
  <c r="C5" i="1" l="1"/>
  <c r="N5" i="1"/>
  <c r="I5" i="1"/>
  <c r="J5" i="1" s="1"/>
  <c r="K5" i="1" s="1"/>
  <c r="K6" i="1"/>
</calcChain>
</file>

<file path=xl/sharedStrings.xml><?xml version="1.0" encoding="utf-8"?>
<sst xmlns="http://schemas.openxmlformats.org/spreadsheetml/2006/main" count="314" uniqueCount="81">
  <si>
    <t>*</t>
  </si>
  <si>
    <t>Cantidad</t>
  </si>
  <si>
    <t>Defecto</t>
  </si>
  <si>
    <t>Version</t>
  </si>
  <si>
    <t>Maquina</t>
  </si>
  <si>
    <t>Línea</t>
  </si>
  <si>
    <t>Semana</t>
  </si>
  <si>
    <t>Fecha</t>
  </si>
  <si>
    <t>%</t>
  </si>
  <si>
    <t>FTQ</t>
  </si>
  <si>
    <t xml:space="preserve">Division </t>
  </si>
  <si>
    <t>Piezas NOK</t>
  </si>
  <si>
    <t>Piezas OK</t>
  </si>
  <si>
    <t>DEFECTOS</t>
  </si>
  <si>
    <t>PRODUCCIÓN</t>
  </si>
  <si>
    <t>SCR MMA</t>
  </si>
  <si>
    <t>EOL</t>
  </si>
  <si>
    <t>Mal enrollado de cables Op.200</t>
  </si>
  <si>
    <t>Mal ensamble con cable AB dañado Op.150</t>
  </si>
  <si>
    <t>Mala colocación de cable AB en doblez Op.150</t>
  </si>
  <si>
    <t>Cables dañados por doblez Op.150</t>
  </si>
  <si>
    <t>Falla en inspección visual no detecta piezas NOK Op.200</t>
  </si>
  <si>
    <t>Latch y Resorte no llegan a posición correcta Op.300</t>
  </si>
  <si>
    <t>Falla 3320.041 Op.EOL</t>
  </si>
  <si>
    <t>Falla 3310.011 Op.EOL</t>
  </si>
  <si>
    <t>Falsos rechazos Op.EOL</t>
  </si>
  <si>
    <t>Falla 3550.002 Op.EOL</t>
  </si>
  <si>
    <t>Falla 6000.001 Op.EOL</t>
  </si>
  <si>
    <t>Falla 2110.020 Op.EOL</t>
  </si>
  <si>
    <t>Cable and Mark NG (Ventanita) Op.EOL</t>
  </si>
  <si>
    <t>SCCM MMA</t>
  </si>
  <si>
    <t>Falla de inspección visual en curvas sin NG Op.100</t>
  </si>
  <si>
    <t>Dispensado de Grasa No Uniforme en Engrane sin NG Op.200</t>
  </si>
  <si>
    <t>Sensor no detecta mesa giratoria Op.400</t>
  </si>
  <si>
    <t>Falla en inspección visual de Ruteo de Arnes Op.700</t>
  </si>
  <si>
    <t>Falla en alimentador de Tornillos Op.800</t>
  </si>
  <si>
    <t>Falla de inspección visual en Mordaza Métalica sin NG Op.100</t>
  </si>
  <si>
    <t>Falla de Etiqueta por Guarda sin NG Op.300</t>
  </si>
  <si>
    <t>Inspección visual  no detecta PCB sin conector Op.600</t>
  </si>
  <si>
    <t>Falla de inspección visual  Op.700</t>
  </si>
  <si>
    <t>No pide Inspección visual  del SCAS Op.700</t>
  </si>
  <si>
    <t>Mal enclipsado de Engrane en Housing (SAS) Op.200</t>
  </si>
  <si>
    <t>Falla de Robot de enclipsado de Engrane en Housing (SAS) Op.200</t>
  </si>
  <si>
    <t>Falla Mécanica en nido giratorio Op.500</t>
  </si>
  <si>
    <t>Falla de inspección visual en Stator Housing Op.100</t>
  </si>
  <si>
    <t>Falla de inspección visual en Rotor Housing Op.100</t>
  </si>
  <si>
    <t>Falla de altura de cable AB Op.200</t>
  </si>
  <si>
    <t>Cable Dummy dañado Op.200</t>
  </si>
  <si>
    <t>Falla "Codigo de barra no corresponde a la versión"  sin NOK Op.300</t>
  </si>
  <si>
    <t>Falla 3110.004 Op.EOL</t>
  </si>
  <si>
    <t>Falla 2270.004 Op.EOL</t>
  </si>
  <si>
    <t>Falla de inspección visual no permite colocar Bearing Ring Op.100</t>
  </si>
  <si>
    <t>Falla 2110.010 Op.EOL</t>
  </si>
  <si>
    <t>Falla 2230.011 Op.EOL</t>
  </si>
  <si>
    <t>Falla 3310.251 Op.EOL</t>
  </si>
  <si>
    <t>Falla 3121.022 Op.EOL</t>
  </si>
  <si>
    <t>Calibrador</t>
  </si>
  <si>
    <t>Mal ensamble por falla en detección de Elemento de compensación Op.400</t>
  </si>
  <si>
    <t>Atorramiento de pieza en Nido Op.600</t>
  </si>
  <si>
    <t>Falla de inspección visual en puntos de grasa Op.600</t>
  </si>
  <si>
    <t>Pruebas de Ruido</t>
  </si>
  <si>
    <t>Calibrador de iluminación</t>
  </si>
  <si>
    <t>Falla por mal ensamble de SAS por gravedad sin NG Op.200</t>
  </si>
  <si>
    <t>Se interrumpen cortinas de emergencia, detiene proceso Op.300</t>
  </si>
  <si>
    <t>Banda transportadora no detecta piezas, se caen Op.600</t>
  </si>
  <si>
    <t>Mal enclipsado de Spiral Op.700</t>
  </si>
  <si>
    <t>Se interrumpen cortinas de emergencia, detiene proceso Op.800</t>
  </si>
  <si>
    <t>Calibrador de Palancas</t>
  </si>
  <si>
    <t>Falla por limites en Palancas Op.Calibrador de Palancas</t>
  </si>
  <si>
    <t>Falla de sensor, no detecta pieza Op.Pruebas de Ruido</t>
  </si>
  <si>
    <t>07/09/2026</t>
  </si>
  <si>
    <t>37</t>
  </si>
  <si>
    <t>12289507</t>
  </si>
  <si>
    <t>Falla en proceso, no regresa Palanca a posición Op.Pruebas de Ruido</t>
  </si>
  <si>
    <t>No inicia secuencia Op.Pruebas de Ruido</t>
  </si>
  <si>
    <t>Calibrador de Iluminación</t>
  </si>
  <si>
    <t>No inicia secuencia Op.Calibrador de Iluminación</t>
  </si>
  <si>
    <t>Calibrador SAS1</t>
  </si>
  <si>
    <t>Calibrador SAS2</t>
  </si>
  <si>
    <t>Falla 9220.120 Op.Calibrador SAS1</t>
  </si>
  <si>
    <t>Falla 4000.130 Op.Calibrador SAS2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</si>
</sst>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APET\Noticias\KPI\2012\Paros%20de%20l&#237;nea\Analisis%20paros%20de%20linea%20APK%20YTD%2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Documents%20and%20Settings\Comun\Escritorio\lbringa03\Documents%20and%20Settings\Comun\Mis%20documentos\FM%20(LOG&#205;STICA%20Y%20PLANEACION)_01\LBRINGAS_ANALISIS%20CAPACIDAD%20(REPORTE%20EJECUTIVO)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qusan002\vol3\APET\Noticias\KPI\2012\Paros%20de%20l&#237;nea\Auto-Log&#237;stica\LB_MASTER%20(AUTOMOTIVE)_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ic Vertical "/>
      <sheetName val="Data Vertical"/>
      <sheetName val="Data_Lineal"/>
      <sheetName val="TDIN_DEP"/>
      <sheetName val="DB_Total"/>
      <sheetName val="DB_Date"/>
    </sheetNames>
    <sheetDataSet>
      <sheetData sheetId="0"/>
      <sheetData sheetId="1"/>
      <sheetData sheetId="2">
        <row r="4">
          <cell r="H4">
            <v>4.6128026282613745E-7</v>
          </cell>
          <cell r="I4">
            <v>4.5798688596122529E-7</v>
          </cell>
          <cell r="J4">
            <v>2.3082137892697308E-7</v>
          </cell>
          <cell r="K4">
            <v>8.7953741186879267E-7</v>
          </cell>
          <cell r="L4">
            <v>5.1957426302197086E-7</v>
          </cell>
          <cell r="M4">
            <v>7.9656911577300344E-7</v>
          </cell>
          <cell r="N4">
            <v>2.3841032365433113E-7</v>
          </cell>
          <cell r="O4">
            <v>3.4881200552845203E-7</v>
          </cell>
          <cell r="P4">
            <v>1.5105794226212144E-7</v>
          </cell>
          <cell r="Q4">
            <v>6.7914440650975674E-7</v>
          </cell>
          <cell r="R4">
            <v>1.9941156511107971E-7</v>
          </cell>
          <cell r="S4">
            <v>8.1891734750258662E-7</v>
          </cell>
          <cell r="T4">
            <v>3.9501913614988575E-7</v>
          </cell>
          <cell r="U4">
            <v>4.804072831588568E-9</v>
          </cell>
          <cell r="V4">
            <v>5.9486242810770213E-7</v>
          </cell>
          <cell r="W4">
            <v>5.6381760209612809E-7</v>
          </cell>
          <cell r="X4">
            <v>7.9667209778522615E-7</v>
          </cell>
          <cell r="Y4">
            <v>3.4216671013346489E-7</v>
          </cell>
          <cell r="AB4">
            <v>2.6553627123588264E-7</v>
          </cell>
          <cell r="AC4">
            <v>2.0669762623815746E-7</v>
          </cell>
          <cell r="AD4">
            <v>3.2768104135159962E-7</v>
          </cell>
          <cell r="AE4">
            <v>2.7848316657891492E-7</v>
          </cell>
          <cell r="AF4">
            <v>1.9701528838698668E-7</v>
          </cell>
          <cell r="AG4">
            <v>2.5340739246890834E-7</v>
          </cell>
          <cell r="AH4">
            <v>4.8675584051292687E-8</v>
          </cell>
          <cell r="AI4">
            <v>7.945831154632161E-7</v>
          </cell>
          <cell r="AJ4">
            <v>6.0814233819773021E-8</v>
          </cell>
          <cell r="AK4">
            <v>7.8715852174719365E-7</v>
          </cell>
          <cell r="AL4">
            <v>7.7507469651950882E-7</v>
          </cell>
          <cell r="AM4">
            <v>7.9346504479360025E-7</v>
          </cell>
          <cell r="AN4">
            <v>8.483704559428207E-7</v>
          </cell>
          <cell r="AO4">
            <v>2.2347478081964488E-7</v>
          </cell>
          <cell r="AP4">
            <v>9.3632890006668145E-7</v>
          </cell>
          <cell r="AQ4">
            <v>1.4554589540925944E-7</v>
          </cell>
          <cell r="AR4">
            <v>2.9594819101152627E-7</v>
          </cell>
          <cell r="AS4">
            <v>8.8211512082600895E-7</v>
          </cell>
          <cell r="AT4">
            <v>1.2914450306514036E-7</v>
          </cell>
          <cell r="AU4">
            <v>6.8132099701320173E-7</v>
          </cell>
          <cell r="AV4">
            <v>9.9870039550466024E-7</v>
          </cell>
          <cell r="AW4">
            <v>2.9486308539515437E-7</v>
          </cell>
          <cell r="AX4">
            <v>3.4141037338244831E-7</v>
          </cell>
          <cell r="AY4">
            <v>5.9009397330223747E-7</v>
          </cell>
          <cell r="AZ4">
            <v>6.7064357101128127E-7</v>
          </cell>
          <cell r="BA4">
            <v>2.2555013115616361E-8</v>
          </cell>
          <cell r="BB4">
            <v>3.8831086900351777E-7</v>
          </cell>
          <cell r="BC4">
            <v>4.7507625167273739E-7</v>
          </cell>
          <cell r="BD4">
            <v>5.3215699996903347E-7</v>
          </cell>
          <cell r="BE4">
            <v>5.6838584665145245E-7</v>
          </cell>
          <cell r="BF4">
            <v>2.5686117197603496E-8</v>
          </cell>
          <cell r="BG4">
            <v>8.9255552736604547E-7</v>
          </cell>
          <cell r="BH4">
            <v>6.9791349801960221E-7</v>
          </cell>
          <cell r="BI4">
            <v>4.6130339687433098E-7</v>
          </cell>
          <cell r="BJ4">
            <v>9.3098489767741377E-8</v>
          </cell>
          <cell r="BK4">
            <v>6.3567895170314163E-7</v>
          </cell>
          <cell r="BL4">
            <v>5.3404235000455745E-7</v>
          </cell>
          <cell r="BM4">
            <v>1.797905058057987E-7</v>
          </cell>
          <cell r="BN4">
            <v>5.6479650611890977E-8</v>
          </cell>
          <cell r="BO4">
            <v>9.5056881095435392E-7</v>
          </cell>
          <cell r="BP4">
            <v>1.5399490683261695E-7</v>
          </cell>
          <cell r="BQ4">
            <v>7.6565262850565329E-7</v>
          </cell>
          <cell r="BR4">
            <v>3.2212462518210877E-7</v>
          </cell>
          <cell r="BS4">
            <v>2.8721540362867426E-7</v>
          </cell>
          <cell r="BT4">
            <v>7.4755103759092576E-7</v>
          </cell>
          <cell r="BU4">
            <v>7.8105198669563335E-7</v>
          </cell>
          <cell r="BV4">
            <v>6.768293824922786E-7</v>
          </cell>
          <cell r="BW4">
            <v>9.1361915714509712E-7</v>
          </cell>
          <cell r="BX4">
            <v>4.1966805252191632E-7</v>
          </cell>
          <cell r="BY4">
            <v>6.2376059325236558E-7</v>
          </cell>
          <cell r="BZ4">
            <v>2.7212172410287039E-7</v>
          </cell>
          <cell r="CA4">
            <v>9.531130658960754E-7</v>
          </cell>
          <cell r="CB4">
            <v>9.9732851796627207E-7</v>
          </cell>
          <cell r="CC4">
            <v>6.2984377580552681E-7</v>
          </cell>
          <cell r="CD4">
            <v>8.1498638542230764E-7</v>
          </cell>
          <cell r="CE4">
            <v>1.5915679073149925E-7</v>
          </cell>
          <cell r="CF4">
            <v>8.3463738227323694E-7</v>
          </cell>
          <cell r="CG4">
            <v>9.2813921063272905E-7</v>
          </cell>
          <cell r="CH4">
            <v>3.6885926111708224E-7</v>
          </cell>
          <cell r="CI4">
            <v>7.7601113044322047E-7</v>
          </cell>
          <cell r="CJ4">
            <v>7.1311501906055021E-7</v>
          </cell>
          <cell r="CK4">
            <v>3.4152747235291767E-8</v>
          </cell>
          <cell r="CL4">
            <v>5.6848540752840387E-7</v>
          </cell>
          <cell r="CM4">
            <v>4.6337897442855436E-7</v>
          </cell>
          <cell r="CN4">
            <v>9.9586442922241444E-7</v>
          </cell>
          <cell r="CO4">
            <v>4.3737979733560882E-7</v>
          </cell>
          <cell r="CP4">
            <v>2.4380772955936079E-7</v>
          </cell>
          <cell r="CQ4">
            <v>6.9421094024991637E-7</v>
          </cell>
          <cell r="CR4">
            <v>1.4617130786295451E-7</v>
          </cell>
          <cell r="CT4">
            <v>8.5410565713673874E-7</v>
          </cell>
          <cell r="CU4">
            <v>6.4021735859773442E-8</v>
          </cell>
        </row>
        <row r="5">
          <cell r="H5" t="str">
            <v xml:space="preserve">TOTAL </v>
          </cell>
          <cell r="I5">
            <v>10032635</v>
          </cell>
          <cell r="J5">
            <v>688821</v>
          </cell>
          <cell r="K5">
            <v>10208923</v>
          </cell>
          <cell r="L5">
            <v>10400854852</v>
          </cell>
          <cell r="M5">
            <v>10030652</v>
          </cell>
          <cell r="N5">
            <v>10048543</v>
          </cell>
          <cell r="O5">
            <v>10051310</v>
          </cell>
          <cell r="P5">
            <v>10046306</v>
          </cell>
          <cell r="Q5">
            <v>10032347</v>
          </cell>
          <cell r="R5">
            <v>10043097</v>
          </cell>
          <cell r="S5">
            <v>10018571</v>
          </cell>
          <cell r="T5">
            <v>10059572</v>
          </cell>
          <cell r="U5">
            <v>10052727</v>
          </cell>
          <cell r="V5">
            <v>10043034</v>
          </cell>
          <cell r="W5">
            <v>10400861450</v>
          </cell>
          <cell r="X5">
            <v>10400859780</v>
          </cell>
          <cell r="Y5">
            <v>10400854862</v>
          </cell>
          <cell r="AB5">
            <v>10056970</v>
          </cell>
          <cell r="AC5">
            <v>10037450</v>
          </cell>
          <cell r="AD5">
            <v>10032639</v>
          </cell>
          <cell r="AE5">
            <v>10044846</v>
          </cell>
          <cell r="AF5">
            <v>10018585</v>
          </cell>
          <cell r="AG5">
            <v>10060490</v>
          </cell>
          <cell r="AH5">
            <v>10047451</v>
          </cell>
          <cell r="AI5">
            <v>10063028</v>
          </cell>
          <cell r="AJ5">
            <v>10400656840</v>
          </cell>
          <cell r="AK5">
            <v>10400679610</v>
          </cell>
          <cell r="AL5">
            <v>10032635</v>
          </cell>
          <cell r="AM5">
            <v>10032633</v>
          </cell>
          <cell r="AN5">
            <v>22400688821</v>
          </cell>
          <cell r="AO5">
            <v>10210151</v>
          </cell>
          <cell r="AP5">
            <v>10051453</v>
          </cell>
          <cell r="AQ5">
            <v>10050012</v>
          </cell>
          <cell r="AR5">
            <v>10018586</v>
          </cell>
          <cell r="AS5">
            <v>10050698</v>
          </cell>
          <cell r="AT5">
            <v>10048825</v>
          </cell>
          <cell r="AU5">
            <v>10032634</v>
          </cell>
          <cell r="AV5">
            <v>10400859590</v>
          </cell>
          <cell r="AW5">
            <v>10400859570</v>
          </cell>
          <cell r="AX5">
            <v>22400646230</v>
          </cell>
          <cell r="AY5">
            <v>10400857860</v>
          </cell>
          <cell r="AZ5">
            <v>10003818</v>
          </cell>
          <cell r="BA5">
            <v>22400646240</v>
          </cell>
          <cell r="BB5">
            <v>22400166440</v>
          </cell>
          <cell r="BC5">
            <v>10048577</v>
          </cell>
          <cell r="BD5" t="str">
            <v>PLATINAS 10037241, 10037246, 10037247, 10037252, 10037215</v>
          </cell>
          <cell r="BE5">
            <v>22400854863</v>
          </cell>
          <cell r="BF5">
            <v>10046301</v>
          </cell>
          <cell r="BG5">
            <v>10048328</v>
          </cell>
          <cell r="BH5">
            <v>10400688840</v>
          </cell>
          <cell r="BI5">
            <v>10400857710</v>
          </cell>
          <cell r="BJ5">
            <v>10400715140</v>
          </cell>
          <cell r="BK5">
            <v>10048320</v>
          </cell>
          <cell r="BL5">
            <v>10047522</v>
          </cell>
          <cell r="BM5">
            <v>10050699</v>
          </cell>
          <cell r="BN5">
            <v>10400639021</v>
          </cell>
          <cell r="BO5">
            <v>10037231</v>
          </cell>
          <cell r="BP5">
            <v>10078664</v>
          </cell>
          <cell r="BQ5">
            <v>10037446</v>
          </cell>
          <cell r="BR5">
            <v>10400630270</v>
          </cell>
          <cell r="BS5">
            <v>10046300</v>
          </cell>
          <cell r="BT5">
            <v>10039311</v>
          </cell>
          <cell r="BU5">
            <v>10041544</v>
          </cell>
          <cell r="BV5">
            <v>10055111</v>
          </cell>
          <cell r="BW5">
            <v>10041877</v>
          </cell>
          <cell r="BX5">
            <v>10085864</v>
          </cell>
          <cell r="BY5">
            <v>10037632</v>
          </cell>
          <cell r="BZ5">
            <v>10037612</v>
          </cell>
          <cell r="CA5">
            <v>10051454</v>
          </cell>
          <cell r="CB5">
            <v>10074375</v>
          </cell>
          <cell r="CC5" t="str">
            <v>VERSIONES SCHROUD 10082213,10049751,10082300</v>
          </cell>
          <cell r="CD5">
            <v>10083818</v>
          </cell>
          <cell r="CE5">
            <v>10032636</v>
          </cell>
          <cell r="CF5">
            <v>10034649</v>
          </cell>
          <cell r="CG5">
            <v>10049628</v>
          </cell>
          <cell r="CH5">
            <v>30400688050</v>
          </cell>
          <cell r="CI5">
            <v>10051293</v>
          </cell>
          <cell r="CJ5">
            <v>10040273</v>
          </cell>
          <cell r="CK5">
            <v>10046296</v>
          </cell>
          <cell r="CL5">
            <v>10047178</v>
          </cell>
          <cell r="CM5">
            <v>10051126</v>
          </cell>
          <cell r="CN5">
            <v>10050697</v>
          </cell>
          <cell r="CO5">
            <v>10050017</v>
          </cell>
          <cell r="CP5">
            <v>10037451</v>
          </cell>
          <cell r="CQ5">
            <v>10068696</v>
          </cell>
          <cell r="CR5">
            <v>10057522</v>
          </cell>
          <cell r="CS5">
            <v>10210164</v>
          </cell>
          <cell r="CT5">
            <v>10400690911</v>
          </cell>
          <cell r="CU5">
            <v>10400674500000</v>
          </cell>
        </row>
        <row r="6">
          <cell r="CX6">
            <v>1</v>
          </cell>
          <cell r="CY6">
            <v>2</v>
          </cell>
          <cell r="CZ6">
            <v>3</v>
          </cell>
          <cell r="DA6">
            <v>4</v>
          </cell>
          <cell r="DB6">
            <v>5</v>
          </cell>
        </row>
        <row r="7">
          <cell r="CX7">
            <v>0</v>
          </cell>
          <cell r="CY7" t="str">
            <v>Line ShutDown Contributions</v>
          </cell>
        </row>
        <row r="8">
          <cell r="CX8">
            <v>1</v>
          </cell>
          <cell r="CY8">
            <v>9.9870039550466024E-7</v>
          </cell>
          <cell r="CZ8">
            <v>10400859590</v>
          </cell>
          <cell r="DA8">
            <v>0.14773579794032665</v>
          </cell>
          <cell r="DB8">
            <v>0.14773579794032665</v>
          </cell>
          <cell r="DH8">
            <v>0.08</v>
          </cell>
        </row>
        <row r="9">
          <cell r="I9">
            <v>78</v>
          </cell>
          <cell r="J9">
            <v>13.5</v>
          </cell>
          <cell r="CL9">
            <v>10</v>
          </cell>
          <cell r="CX9">
            <v>2</v>
          </cell>
          <cell r="CY9">
            <v>9.9732851796627207E-7</v>
          </cell>
          <cell r="CZ9">
            <v>10074375</v>
          </cell>
          <cell r="DA9">
            <v>0.29526865671719399</v>
          </cell>
          <cell r="DB9">
            <v>0.14753285877686734</v>
          </cell>
          <cell r="DH9">
            <v>1670</v>
          </cell>
        </row>
        <row r="10">
          <cell r="CX10">
            <v>3</v>
          </cell>
          <cell r="CY10">
            <v>9.9586442922241444E-7</v>
          </cell>
          <cell r="CZ10">
            <v>10050697</v>
          </cell>
          <cell r="DA10">
            <v>0.44258493570716739</v>
          </cell>
          <cell r="DB10">
            <v>0.14731627898997343</v>
          </cell>
          <cell r="DG10">
            <v>1</v>
          </cell>
          <cell r="DH10">
            <v>0</v>
          </cell>
          <cell r="DI10">
            <v>43.44</v>
          </cell>
        </row>
        <row r="11">
          <cell r="I11">
            <v>15</v>
          </cell>
          <cell r="CL11">
            <v>23</v>
          </cell>
          <cell r="CM11">
            <v>19</v>
          </cell>
          <cell r="CU11">
            <v>10.5</v>
          </cell>
          <cell r="CX11">
            <v>4</v>
          </cell>
          <cell r="CY11">
            <v>9.531130658960754E-7</v>
          </cell>
          <cell r="CZ11">
            <v>10051454</v>
          </cell>
          <cell r="DA11">
            <v>0.58357708906098149</v>
          </cell>
          <cell r="DB11">
            <v>0.14099215335381407</v>
          </cell>
          <cell r="DG11">
            <v>2</v>
          </cell>
          <cell r="DH11">
            <v>0</v>
          </cell>
          <cell r="DI11">
            <v>28.81</v>
          </cell>
        </row>
        <row r="12">
          <cell r="M12">
            <v>8</v>
          </cell>
          <cell r="AM12">
            <v>12</v>
          </cell>
          <cell r="CH12">
            <v>25</v>
          </cell>
          <cell r="CI12">
            <v>39</v>
          </cell>
          <cell r="CJ12">
            <v>39</v>
          </cell>
          <cell r="CK12">
            <v>13</v>
          </cell>
          <cell r="CX12">
            <v>5</v>
          </cell>
          <cell r="CY12">
            <v>9.5056881095435392E-7</v>
          </cell>
          <cell r="CZ12">
            <v>10037231</v>
          </cell>
          <cell r="DA12">
            <v>0.72419287575301117</v>
          </cell>
          <cell r="DB12">
            <v>0.14061578669202968</v>
          </cell>
          <cell r="DG12">
            <v>3</v>
          </cell>
          <cell r="DH12">
            <v>207</v>
          </cell>
          <cell r="DI12">
            <v>207</v>
          </cell>
        </row>
        <row r="13">
          <cell r="AU13">
            <v>79.62</v>
          </cell>
          <cell r="AX13">
            <v>15.5</v>
          </cell>
          <cell r="BK13">
            <v>22</v>
          </cell>
          <cell r="CX13">
            <v>6</v>
          </cell>
          <cell r="CY13">
            <v>9.3632890006668145E-7</v>
          </cell>
          <cell r="CZ13">
            <v>10051453</v>
          </cell>
          <cell r="DA13">
            <v>0.86270218025372625</v>
          </cell>
          <cell r="DB13">
            <v>0.13850930450071505</v>
          </cell>
          <cell r="DG13">
            <v>4</v>
          </cell>
          <cell r="DH13">
            <v>91</v>
          </cell>
          <cell r="DI13">
            <v>91.12</v>
          </cell>
        </row>
        <row r="14">
          <cell r="CC14">
            <v>17</v>
          </cell>
          <cell r="CF14">
            <v>27</v>
          </cell>
          <cell r="CG14">
            <v>9</v>
          </cell>
          <cell r="CX14">
            <v>7</v>
          </cell>
          <cell r="CY14">
            <v>9.2813921063272905E-7</v>
          </cell>
          <cell r="CZ14">
            <v>10049628</v>
          </cell>
          <cell r="DA14">
            <v>1</v>
          </cell>
          <cell r="DB14">
            <v>0.13729781974627372</v>
          </cell>
          <cell r="DG14">
            <v>5</v>
          </cell>
          <cell r="DH14">
            <v>0</v>
          </cell>
          <cell r="DI14">
            <v>43.01</v>
          </cell>
        </row>
        <row r="15">
          <cell r="BC15">
            <v>6</v>
          </cell>
          <cell r="BD15">
            <v>18</v>
          </cell>
          <cell r="BJ15">
            <v>6</v>
          </cell>
          <cell r="BK15">
            <v>27</v>
          </cell>
          <cell r="BS15">
            <v>26</v>
          </cell>
          <cell r="DG15">
            <v>6</v>
          </cell>
          <cell r="DH15">
            <v>0</v>
          </cell>
          <cell r="DI15">
            <v>59</v>
          </cell>
        </row>
        <row r="16">
          <cell r="BN16">
            <v>12</v>
          </cell>
          <cell r="BO16">
            <v>8</v>
          </cell>
          <cell r="BR16">
            <v>14</v>
          </cell>
          <cell r="BS16">
            <v>31</v>
          </cell>
          <cell r="DG16">
            <v>7</v>
          </cell>
          <cell r="DH16">
            <v>125</v>
          </cell>
          <cell r="DI16">
            <v>124.88</v>
          </cell>
        </row>
        <row r="17">
          <cell r="AU17">
            <v>30</v>
          </cell>
          <cell r="BL17">
            <v>33.5</v>
          </cell>
          <cell r="BM17">
            <v>36</v>
          </cell>
          <cell r="BN17">
            <v>30</v>
          </cell>
          <cell r="BR17">
            <v>50</v>
          </cell>
          <cell r="BS17">
            <v>40</v>
          </cell>
          <cell r="DG17">
            <v>8</v>
          </cell>
          <cell r="DI17">
            <v>25.95</v>
          </cell>
        </row>
        <row r="26">
          <cell r="P26">
            <v>5.5</v>
          </cell>
          <cell r="Q26">
            <v>6.5</v>
          </cell>
          <cell r="Y26">
            <v>8</v>
          </cell>
        </row>
        <row r="27">
          <cell r="T27">
            <v>44</v>
          </cell>
        </row>
      </sheetData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CIDAD (1)"/>
      <sheetName val="DB_FECHAS (2)"/>
    </sheetNames>
    <sheetDataSet>
      <sheetData sheetId="0">
        <row r="9">
          <cell r="X9">
            <v>1</v>
          </cell>
          <cell r="Z9" t="str">
            <v>FUND</v>
          </cell>
          <cell r="AA9">
            <v>13.690834221176473</v>
          </cell>
          <cell r="AB9">
            <v>0.56120800000000004</v>
          </cell>
          <cell r="AC9">
            <v>0</v>
          </cell>
          <cell r="AD9">
            <v>1250.6577115808047</v>
          </cell>
          <cell r="AE9">
            <v>1086.3676981885201</v>
          </cell>
          <cell r="AF9">
            <v>1072.4486847660739</v>
          </cell>
          <cell r="AG9">
            <v>1063.5040077773222</v>
          </cell>
          <cell r="AH9">
            <v>1106.6757675808483</v>
          </cell>
          <cell r="AI9">
            <v>1108.9575746534613</v>
          </cell>
          <cell r="AJ9">
            <v>4369.840480405941</v>
          </cell>
          <cell r="AK9">
            <v>4369.840480405941</v>
          </cell>
          <cell r="AL9">
            <v>4369.840480405941</v>
          </cell>
          <cell r="AM9">
            <v>4369.840480405941</v>
          </cell>
        </row>
        <row r="10">
          <cell r="X10">
            <v>2</v>
          </cell>
          <cell r="Z10" t="str">
            <v>MQ</v>
          </cell>
          <cell r="AA10">
            <v>10.932264</v>
          </cell>
          <cell r="AB10">
            <v>0.67483111111111105</v>
          </cell>
          <cell r="AC10">
            <v>0</v>
          </cell>
          <cell r="AD10">
            <v>998.66232077290579</v>
          </cell>
          <cell r="AE10">
            <v>867.47515058645297</v>
          </cell>
          <cell r="AF10">
            <v>856.36068327967905</v>
          </cell>
          <cell r="AG10">
            <v>849.21827189290559</v>
          </cell>
          <cell r="AH10">
            <v>883.69134109322647</v>
          </cell>
          <cell r="AI10">
            <v>885.51338618645286</v>
          </cell>
          <cell r="AJ10">
            <v>3489.3600344522642</v>
          </cell>
          <cell r="AK10">
            <v>3489.3600344522642</v>
          </cell>
          <cell r="AL10">
            <v>3489.3600344522642</v>
          </cell>
          <cell r="AM10">
            <v>3489.3600344522642</v>
          </cell>
        </row>
        <row r="11">
          <cell r="X11">
            <v>3</v>
          </cell>
          <cell r="Z11" t="str">
            <v>SC</v>
          </cell>
          <cell r="AA11">
            <v>11.49025</v>
          </cell>
          <cell r="AB11">
            <v>0.75593750000000004</v>
          </cell>
          <cell r="AC11">
            <v>0</v>
          </cell>
          <cell r="AD11">
            <v>1049.6343420961002</v>
          </cell>
          <cell r="AE11">
            <v>911.75133979805014</v>
          </cell>
          <cell r="AF11">
            <v>900.06958678040826</v>
          </cell>
          <cell r="AG11">
            <v>892.56262459609991</v>
          </cell>
          <cell r="AH11">
            <v>928.79520948235836</v>
          </cell>
          <cell r="AI11">
            <v>930.71025229805002</v>
          </cell>
          <cell r="AJ11">
            <v>3667.4580064902498</v>
          </cell>
          <cell r="AK11">
            <v>3667.4580064902498</v>
          </cell>
          <cell r="AL11">
            <v>3667.4580064902498</v>
          </cell>
          <cell r="AM11">
            <v>3667.4580064902498</v>
          </cell>
        </row>
        <row r="12">
          <cell r="X12">
            <v>4</v>
          </cell>
          <cell r="Z12" t="str">
            <v>ENS</v>
          </cell>
          <cell r="AA12">
            <v>12.288</v>
          </cell>
          <cell r="AC12">
            <v>0</v>
          </cell>
          <cell r="AD12">
            <v>1122.5088049152002</v>
          </cell>
          <cell r="AE12">
            <v>975.05280245760014</v>
          </cell>
          <cell r="AF12">
            <v>962.56000368639991</v>
          </cell>
          <cell r="AG12">
            <v>954.53184491519994</v>
          </cell>
          <cell r="AH12">
            <v>993.28000122880007</v>
          </cell>
          <cell r="AI12">
            <v>995.32800245760006</v>
          </cell>
          <cell r="AJ12">
            <v>3922.0838522880003</v>
          </cell>
          <cell r="AK12">
            <v>3922.0838522880003</v>
          </cell>
          <cell r="AL12">
            <v>3922.0838522880003</v>
          </cell>
          <cell r="AM12">
            <v>3922.0838522880003</v>
          </cell>
        </row>
        <row r="15">
          <cell r="Z15" t="str">
            <v>IMPROVED CAPACITY [ MID TERM ]</v>
          </cell>
          <cell r="AC15" t="str">
            <v>Q2004.2</v>
          </cell>
          <cell r="AD15" t="str">
            <v>Q2004.3</v>
          </cell>
          <cell r="AE15" t="str">
            <v>Q2004.4</v>
          </cell>
          <cell r="AF15" t="str">
            <v>Q2005.1</v>
          </cell>
          <cell r="AG15" t="str">
            <v>Q2005.2</v>
          </cell>
          <cell r="AH15" t="str">
            <v>Q2005.3</v>
          </cell>
          <cell r="AI15" t="str">
            <v>Q2005.4</v>
          </cell>
          <cell r="AJ15" t="str">
            <v>Q2006A</v>
          </cell>
          <cell r="AK15" t="str">
            <v>Q2007A</v>
          </cell>
          <cell r="AL15" t="str">
            <v>Q2008A</v>
          </cell>
          <cell r="AM15" t="str">
            <v>Q2009A</v>
          </cell>
        </row>
        <row r="16">
          <cell r="AC16">
            <v>6.333333333333333</v>
          </cell>
          <cell r="AD16">
            <v>6.333333333333333</v>
          </cell>
          <cell r="AE16">
            <v>6.333333333333333</v>
          </cell>
          <cell r="AF16">
            <v>6.333333333333333</v>
          </cell>
          <cell r="AG16">
            <v>6.333333333333333</v>
          </cell>
          <cell r="AH16">
            <v>6.333333333333333</v>
          </cell>
          <cell r="AI16">
            <v>6.333333333333333</v>
          </cell>
          <cell r="AJ16">
            <v>6.333333333333333</v>
          </cell>
          <cell r="AK16">
            <v>6.333333333333333</v>
          </cell>
          <cell r="AL16">
            <v>6.333333333333333</v>
          </cell>
          <cell r="AM16">
            <v>6.333333333333333</v>
          </cell>
        </row>
        <row r="17">
          <cell r="AA17" t="str">
            <v>Kok / día</v>
          </cell>
          <cell r="AB17" t="str">
            <v>OEE</v>
          </cell>
          <cell r="AC17">
            <v>0</v>
          </cell>
          <cell r="AD17">
            <v>91.350000400000013</v>
          </cell>
          <cell r="AE17">
            <v>79.350000200000011</v>
          </cell>
          <cell r="AF17">
            <v>78.333333633333325</v>
          </cell>
          <cell r="AG17">
            <v>77.680000399999997</v>
          </cell>
          <cell r="AH17">
            <v>80.833333433333337</v>
          </cell>
          <cell r="AI17">
            <v>81.000000200000002</v>
          </cell>
          <cell r="AJ17">
            <v>319.180001</v>
          </cell>
          <cell r="AK17">
            <v>319.180001</v>
          </cell>
          <cell r="AL17">
            <v>319.180001</v>
          </cell>
          <cell r="AM17">
            <v>319.180001</v>
          </cell>
        </row>
        <row r="18">
          <cell r="X18">
            <v>6</v>
          </cell>
          <cell r="Z18" t="str">
            <v>FUND</v>
          </cell>
          <cell r="AA18">
            <v>16.091136000000002</v>
          </cell>
          <cell r="AB18">
            <v>0.65960000000000008</v>
          </cell>
          <cell r="AC18">
            <v>0</v>
          </cell>
          <cell r="AD18">
            <v>1469.9252800364548</v>
          </cell>
          <cell r="AE18">
            <v>1276.8316448182275</v>
          </cell>
          <cell r="AF18">
            <v>1260.4723248273408</v>
          </cell>
          <cell r="AG18">
            <v>1249.9594509164544</v>
          </cell>
          <cell r="AH18">
            <v>1300.7001616091138</v>
          </cell>
          <cell r="AI18">
            <v>1303.3820192182275</v>
          </cell>
          <cell r="AJ18">
            <v>5135.9688045711364</v>
          </cell>
          <cell r="AK18">
            <v>5135.9688045711364</v>
          </cell>
          <cell r="AL18">
            <v>5135.9688045711364</v>
          </cell>
          <cell r="AM18">
            <v>5135.9688045711364</v>
          </cell>
        </row>
        <row r="19">
          <cell r="X19">
            <v>7</v>
          </cell>
          <cell r="Z19" t="str">
            <v>MQ</v>
          </cell>
          <cell r="AA19">
            <v>12.040258064516127</v>
          </cell>
          <cell r="AB19">
            <v>0.72</v>
          </cell>
          <cell r="AC19">
            <v>0</v>
          </cell>
          <cell r="AD19">
            <v>1099.8775790096515</v>
          </cell>
          <cell r="AE19">
            <v>955.39447982740649</v>
          </cell>
          <cell r="AF19">
            <v>943.15355199917394</v>
          </cell>
          <cell r="AG19">
            <v>935.28725126771599</v>
          </cell>
          <cell r="AH19">
            <v>973.25419475241279</v>
          </cell>
          <cell r="AI19">
            <v>975.26090563385799</v>
          </cell>
          <cell r="AJ19">
            <v>3843.0095810725156</v>
          </cell>
          <cell r="AK19">
            <v>3843.0095810725156</v>
          </cell>
          <cell r="AL19">
            <v>3843.0095810725156</v>
          </cell>
          <cell r="AM19">
            <v>3843.0095810725156</v>
          </cell>
        </row>
        <row r="20">
          <cell r="X20">
            <v>8</v>
          </cell>
          <cell r="Z20" t="str">
            <v>SC</v>
          </cell>
          <cell r="AA20">
            <v>18.1875</v>
          </cell>
          <cell r="AB20">
            <v>0.7578125</v>
          </cell>
          <cell r="AC20">
            <v>0</v>
          </cell>
          <cell r="AD20">
            <v>1661.4281322750003</v>
          </cell>
          <cell r="AE20">
            <v>1443.1781286375001</v>
          </cell>
          <cell r="AF20">
            <v>1424.6875054562499</v>
          </cell>
          <cell r="AG20">
            <v>1412.805007275</v>
          </cell>
          <cell r="AH20">
            <v>1470.15625181875</v>
          </cell>
          <cell r="AI20">
            <v>1473.1875036375</v>
          </cell>
          <cell r="AJ20">
            <v>5805.0862681874996</v>
          </cell>
          <cell r="AK20">
            <v>5805.0862681874996</v>
          </cell>
          <cell r="AL20">
            <v>5805.0862681874996</v>
          </cell>
          <cell r="AM20">
            <v>5805.0862681874996</v>
          </cell>
        </row>
        <row r="21">
          <cell r="X21">
            <v>9</v>
          </cell>
          <cell r="Z21" t="str">
            <v>ENS</v>
          </cell>
          <cell r="AA21">
            <v>17.582481203007518</v>
          </cell>
          <cell r="AC21">
            <v>0</v>
          </cell>
          <cell r="AD21">
            <v>1606.1596649277294</v>
          </cell>
          <cell r="AE21">
            <v>1395.1698869751431</v>
          </cell>
          <cell r="AF21">
            <v>1377.2943661769998</v>
          </cell>
          <cell r="AG21">
            <v>1365.8071468826165</v>
          </cell>
          <cell r="AH21">
            <v>1421.2505656680225</v>
          </cell>
          <cell r="AI21">
            <v>1424.1809809601052</v>
          </cell>
          <cell r="AJ21">
            <v>5611.9763679584212</v>
          </cell>
          <cell r="AK21">
            <v>5611.9763679584212</v>
          </cell>
          <cell r="AL21">
            <v>5611.9763679584212</v>
          </cell>
          <cell r="AM21">
            <v>5611.9763679584212</v>
          </cell>
        </row>
        <row r="23">
          <cell r="Z23" t="str">
            <v>CAP. PROD. [ TEÓRICA ]</v>
          </cell>
          <cell r="AC23" t="str">
            <v>Q2004.2</v>
          </cell>
          <cell r="AD23" t="str">
            <v>Q2004.3</v>
          </cell>
          <cell r="AE23" t="str">
            <v>Q2004.4</v>
          </cell>
          <cell r="AF23" t="str">
            <v>Q2005.1</v>
          </cell>
          <cell r="AG23" t="str">
            <v>Q2005.2</v>
          </cell>
          <cell r="AH23" t="str">
            <v>Q2005.3</v>
          </cell>
          <cell r="AI23" t="str">
            <v>Q2005.4</v>
          </cell>
          <cell r="AJ23" t="str">
            <v>Q2006A</v>
          </cell>
          <cell r="AK23" t="str">
            <v>Q2007A</v>
          </cell>
          <cell r="AL23" t="str">
            <v>Q2008A</v>
          </cell>
          <cell r="AM23" t="str">
            <v>Q2009A</v>
          </cell>
        </row>
        <row r="24">
          <cell r="AB24" t="str">
            <v>día / sem</v>
          </cell>
          <cell r="AC24">
            <v>6.333333333333333</v>
          </cell>
          <cell r="AD24">
            <v>6.333333333333333</v>
          </cell>
          <cell r="AE24">
            <v>6.333333333333333</v>
          </cell>
          <cell r="AF24">
            <v>6.333333333333333</v>
          </cell>
          <cell r="AG24">
            <v>6.333333333333333</v>
          </cell>
          <cell r="AH24">
            <v>6.333333333333333</v>
          </cell>
          <cell r="AI24">
            <v>6.333333333333333</v>
          </cell>
          <cell r="AJ24">
            <v>6.333333333333333</v>
          </cell>
          <cell r="AK24">
            <v>6.333333333333333</v>
          </cell>
          <cell r="AL24">
            <v>6.333333333333333</v>
          </cell>
          <cell r="AM24">
            <v>6.333333333333333</v>
          </cell>
        </row>
        <row r="25">
          <cell r="AA25" t="str">
            <v>Kok / día</v>
          </cell>
          <cell r="AB25" t="str">
            <v>OEE</v>
          </cell>
          <cell r="AC25">
            <v>0</v>
          </cell>
          <cell r="AD25">
            <v>91.350000400000013</v>
          </cell>
          <cell r="AE25">
            <v>79.350000200000011</v>
          </cell>
          <cell r="AF25">
            <v>78.333333633333325</v>
          </cell>
          <cell r="AG25">
            <v>77.680000399999997</v>
          </cell>
          <cell r="AH25">
            <v>80.833333433333337</v>
          </cell>
          <cell r="AI25">
            <v>81.000000200000002</v>
          </cell>
          <cell r="AJ25">
            <v>319.180001</v>
          </cell>
          <cell r="AK25">
            <v>319.180001</v>
          </cell>
          <cell r="AL25">
            <v>319.180001</v>
          </cell>
          <cell r="AM25">
            <v>319.180001</v>
          </cell>
        </row>
        <row r="26">
          <cell r="X26">
            <v>11</v>
          </cell>
          <cell r="Z26" t="str">
            <v>FUND</v>
          </cell>
          <cell r="AA26">
            <v>17.07670588235294</v>
          </cell>
          <cell r="AB26">
            <v>0.7</v>
          </cell>
          <cell r="AC26">
            <v>0</v>
          </cell>
          <cell r="AD26">
            <v>1559.9570891836236</v>
          </cell>
          <cell r="AE26">
            <v>1355.0366151800472</v>
          </cell>
          <cell r="AF26">
            <v>1337.6752992406587</v>
          </cell>
          <cell r="AG26">
            <v>1326.5185197718586</v>
          </cell>
          <cell r="AH26">
            <v>1380.3670605312</v>
          </cell>
          <cell r="AI26">
            <v>1383.2131798859293</v>
          </cell>
          <cell r="AJ26">
            <v>5450.5430006061169</v>
          </cell>
          <cell r="AK26">
            <v>5450.5430006061169</v>
          </cell>
          <cell r="AL26">
            <v>5450.5430006061169</v>
          </cell>
          <cell r="AM26">
            <v>5450.5430006061169</v>
          </cell>
        </row>
        <row r="27">
          <cell r="X27">
            <v>12</v>
          </cell>
          <cell r="Z27" t="str">
            <v>MQ</v>
          </cell>
          <cell r="AA27">
            <v>12.96</v>
          </cell>
          <cell r="AB27">
            <v>0.7</v>
          </cell>
          <cell r="AC27">
            <v>0</v>
          </cell>
          <cell r="AD27">
            <v>1183.8960051840002</v>
          </cell>
          <cell r="AE27">
            <v>1028.3760025920003</v>
          </cell>
          <cell r="AF27">
            <v>1015.200003888</v>
          </cell>
          <cell r="AG27">
            <v>1006.7328051840001</v>
          </cell>
          <cell r="AH27">
            <v>1047.6000012960001</v>
          </cell>
          <cell r="AI27">
            <v>1049.7600025920001</v>
          </cell>
          <cell r="AJ27">
            <v>4136.5728129600002</v>
          </cell>
          <cell r="AK27">
            <v>4136.5728129600002</v>
          </cell>
          <cell r="AL27">
            <v>4136.5728129600002</v>
          </cell>
          <cell r="AM27">
            <v>4136.5728129600002</v>
          </cell>
        </row>
        <row r="28">
          <cell r="X28">
            <v>13</v>
          </cell>
          <cell r="Z28" t="str">
            <v>SC</v>
          </cell>
          <cell r="AA28">
            <v>19.32</v>
          </cell>
          <cell r="AB28">
            <v>0.7</v>
          </cell>
          <cell r="AC28">
            <v>0</v>
          </cell>
          <cell r="AD28">
            <v>1764.8820077280002</v>
          </cell>
          <cell r="AE28">
            <v>1533.0420038640002</v>
          </cell>
          <cell r="AF28">
            <v>1513.400005796</v>
          </cell>
          <cell r="AG28">
            <v>1500.777607728</v>
          </cell>
          <cell r="AH28">
            <v>1561.7000019320001</v>
          </cell>
          <cell r="AI28">
            <v>1564.9200038640001</v>
          </cell>
          <cell r="AJ28">
            <v>6166.5576193200004</v>
          </cell>
          <cell r="AK28">
            <v>6166.5576193200004</v>
          </cell>
          <cell r="AL28">
            <v>6166.5576193200004</v>
          </cell>
          <cell r="AM28">
            <v>6166.5576193200004</v>
          </cell>
        </row>
        <row r="29">
          <cell r="X29">
            <v>14</v>
          </cell>
          <cell r="Z29" t="str">
            <v>ENS</v>
          </cell>
          <cell r="AA29">
            <v>7.56</v>
          </cell>
          <cell r="AB29">
            <v>0.7</v>
          </cell>
          <cell r="AC29">
            <v>0</v>
          </cell>
          <cell r="AD29">
            <v>690.60600302400007</v>
          </cell>
          <cell r="AE29">
            <v>599.88600151200001</v>
          </cell>
          <cell r="AF29">
            <v>592.20000226799993</v>
          </cell>
          <cell r="AG29">
            <v>587.26080302399998</v>
          </cell>
          <cell r="AH29">
            <v>611.10000075599999</v>
          </cell>
          <cell r="AI29">
            <v>612.36000151199994</v>
          </cell>
          <cell r="AJ29">
            <v>2413.0008075599999</v>
          </cell>
          <cell r="AK29">
            <v>2413.0008075599999</v>
          </cell>
          <cell r="AL29">
            <v>2413.0008075599999</v>
          </cell>
          <cell r="AM29">
            <v>2413.0008075599999</v>
          </cell>
        </row>
      </sheetData>
      <sheetData sheetId="1">
        <row r="9">
          <cell r="ET9">
            <v>37987</v>
          </cell>
          <cell r="EU9">
            <v>9.9999999999999995E-8</v>
          </cell>
        </row>
        <row r="10">
          <cell r="ET10">
            <v>38022</v>
          </cell>
          <cell r="EU10">
            <v>9.9999999999999995E-8</v>
          </cell>
        </row>
        <row r="11">
          <cell r="ET11">
            <v>38067</v>
          </cell>
          <cell r="EU11">
            <v>9.9999999999999995E-8</v>
          </cell>
        </row>
        <row r="12">
          <cell r="ET12">
            <v>38085</v>
          </cell>
          <cell r="EU12">
            <v>9.9999999999999995E-8</v>
          </cell>
        </row>
        <row r="13">
          <cell r="ET13">
            <v>38086</v>
          </cell>
          <cell r="EU13">
            <v>9.9999999999999995E-8</v>
          </cell>
        </row>
        <row r="14">
          <cell r="ET14">
            <v>38108</v>
          </cell>
          <cell r="EU14">
            <v>9.9999999999999995E-8</v>
          </cell>
        </row>
        <row r="15">
          <cell r="ET15">
            <v>38245</v>
          </cell>
          <cell r="EU15">
            <v>0.5</v>
          </cell>
        </row>
        <row r="16">
          <cell r="ET16">
            <v>38246</v>
          </cell>
          <cell r="EU16">
            <v>9.9999999999999995E-8</v>
          </cell>
        </row>
        <row r="17">
          <cell r="ET17">
            <v>38311</v>
          </cell>
          <cell r="EU17">
            <v>9.9999999999999995E-8</v>
          </cell>
        </row>
        <row r="18">
          <cell r="ET18">
            <v>38333</v>
          </cell>
          <cell r="EU18">
            <v>9.9999999999999995E-8</v>
          </cell>
        </row>
        <row r="19">
          <cell r="ET19">
            <v>38345</v>
          </cell>
          <cell r="EU19">
            <v>0.5</v>
          </cell>
        </row>
        <row r="20">
          <cell r="ET20">
            <v>38346</v>
          </cell>
          <cell r="EU20">
            <v>9.9999999999999995E-8</v>
          </cell>
        </row>
        <row r="21">
          <cell r="ET21">
            <v>38352</v>
          </cell>
          <cell r="EU21">
            <v>0.5</v>
          </cell>
        </row>
        <row r="22">
          <cell r="ET22">
            <v>38334</v>
          </cell>
          <cell r="EU22">
            <v>0.67</v>
          </cell>
        </row>
        <row r="23">
          <cell r="ET23">
            <v>38335</v>
          </cell>
          <cell r="EU23">
            <v>0.67</v>
          </cell>
        </row>
        <row r="24">
          <cell r="ET24">
            <v>38336</v>
          </cell>
          <cell r="EU24">
            <v>0.67</v>
          </cell>
        </row>
        <row r="25">
          <cell r="ET25">
            <v>38337</v>
          </cell>
          <cell r="EU25">
            <v>0.67</v>
          </cell>
        </row>
        <row r="26">
          <cell r="ET26">
            <v>38338</v>
          </cell>
          <cell r="EU26">
            <v>0.67</v>
          </cell>
        </row>
        <row r="28">
          <cell r="ET28">
            <v>38353</v>
          </cell>
          <cell r="EU28">
            <v>9.9999999999999995E-8</v>
          </cell>
        </row>
        <row r="29">
          <cell r="ET29">
            <v>38388</v>
          </cell>
          <cell r="EU29">
            <v>9.9999999999999995E-8</v>
          </cell>
        </row>
        <row r="30">
          <cell r="ET30">
            <v>38432</v>
          </cell>
          <cell r="EU30">
            <v>9.9999999999999995E-8</v>
          </cell>
        </row>
        <row r="31">
          <cell r="ET31">
            <v>38450</v>
          </cell>
          <cell r="EU31">
            <v>9.9999999999999995E-8</v>
          </cell>
        </row>
        <row r="32">
          <cell r="ET32">
            <v>38451</v>
          </cell>
          <cell r="EU32">
            <v>9.9999999999999995E-8</v>
          </cell>
        </row>
        <row r="33">
          <cell r="ET33">
            <v>38473</v>
          </cell>
          <cell r="EU33">
            <v>9.9999999999999995E-8</v>
          </cell>
        </row>
        <row r="34">
          <cell r="ET34">
            <v>38610</v>
          </cell>
          <cell r="EU34">
            <v>0.5</v>
          </cell>
        </row>
        <row r="35">
          <cell r="ET35">
            <v>38611</v>
          </cell>
          <cell r="EU35">
            <v>9.9999999999999995E-8</v>
          </cell>
        </row>
        <row r="36">
          <cell r="ET36">
            <v>38676</v>
          </cell>
          <cell r="EU36">
            <v>9.9999999999999995E-8</v>
          </cell>
        </row>
        <row r="37">
          <cell r="ET37">
            <v>38698</v>
          </cell>
          <cell r="EU37">
            <v>9.9999999999999995E-8</v>
          </cell>
        </row>
        <row r="38">
          <cell r="ET38">
            <v>38710</v>
          </cell>
          <cell r="EU38">
            <v>0.5</v>
          </cell>
        </row>
        <row r="39">
          <cell r="ET39">
            <v>38711</v>
          </cell>
          <cell r="EU39">
            <v>9.9999999999999995E-8</v>
          </cell>
        </row>
        <row r="40">
          <cell r="ET40">
            <v>38717</v>
          </cell>
          <cell r="EU40">
            <v>0.5</v>
          </cell>
        </row>
        <row r="41">
          <cell r="ET41">
            <v>38446</v>
          </cell>
          <cell r="EU41">
            <v>0.67</v>
          </cell>
        </row>
        <row r="42">
          <cell r="ET42">
            <v>38447</v>
          </cell>
          <cell r="EU42">
            <v>0.67</v>
          </cell>
        </row>
        <row r="43">
          <cell r="ET43">
            <v>38448</v>
          </cell>
          <cell r="EU43">
            <v>0.67</v>
          </cell>
        </row>
        <row r="44">
          <cell r="ET44">
            <v>38449</v>
          </cell>
          <cell r="EU44">
            <v>0.67</v>
          </cell>
        </row>
        <row r="46">
          <cell r="ET46">
            <v>38718</v>
          </cell>
          <cell r="EU46">
            <v>9.9999999999999995E-8</v>
          </cell>
        </row>
        <row r="47">
          <cell r="ET47">
            <v>38753</v>
          </cell>
          <cell r="EU47">
            <v>9.9999999999999995E-8</v>
          </cell>
        </row>
        <row r="48">
          <cell r="ET48">
            <v>38797</v>
          </cell>
          <cell r="EU48">
            <v>9.9999999999999995E-8</v>
          </cell>
        </row>
        <row r="49">
          <cell r="ET49">
            <v>38815</v>
          </cell>
          <cell r="EU49">
            <v>9.9999999999999995E-8</v>
          </cell>
        </row>
        <row r="50">
          <cell r="ET50">
            <v>38816</v>
          </cell>
          <cell r="EU50">
            <v>9.9999999999999995E-8</v>
          </cell>
        </row>
        <row r="51">
          <cell r="ET51">
            <v>38838</v>
          </cell>
          <cell r="EU51">
            <v>9.9999999999999995E-8</v>
          </cell>
        </row>
        <row r="52">
          <cell r="ET52">
            <v>38975</v>
          </cell>
          <cell r="EU52">
            <v>0.5</v>
          </cell>
        </row>
        <row r="53">
          <cell r="ET53">
            <v>38976</v>
          </cell>
          <cell r="EU53">
            <v>9.9999999999999995E-8</v>
          </cell>
        </row>
        <row r="54">
          <cell r="ET54">
            <v>39041</v>
          </cell>
          <cell r="EU54">
            <v>9.9999999999999995E-8</v>
          </cell>
        </row>
        <row r="55">
          <cell r="ET55">
            <v>39063</v>
          </cell>
          <cell r="EU55">
            <v>9.9999999999999995E-8</v>
          </cell>
        </row>
        <row r="56">
          <cell r="ET56">
            <v>39075</v>
          </cell>
          <cell r="EU56">
            <v>0.5</v>
          </cell>
        </row>
        <row r="57">
          <cell r="ET57">
            <v>39076</v>
          </cell>
          <cell r="EU57">
            <v>9.9999999999999995E-8</v>
          </cell>
        </row>
        <row r="58">
          <cell r="ET58">
            <v>39082</v>
          </cell>
          <cell r="EU58">
            <v>0.5</v>
          </cell>
        </row>
        <row r="59">
          <cell r="ET59">
            <v>38811</v>
          </cell>
          <cell r="EU59">
            <v>0.67</v>
          </cell>
        </row>
        <row r="60">
          <cell r="ET60">
            <v>38812</v>
          </cell>
          <cell r="EU60">
            <v>0.67</v>
          </cell>
        </row>
        <row r="61">
          <cell r="ET61">
            <v>38813</v>
          </cell>
          <cell r="EU61">
            <v>0.67</v>
          </cell>
        </row>
        <row r="62">
          <cell r="ET62">
            <v>38814</v>
          </cell>
          <cell r="EU62">
            <v>0.67</v>
          </cell>
        </row>
        <row r="64">
          <cell r="ET64">
            <v>39083</v>
          </cell>
          <cell r="EU64">
            <v>9.9999999999999995E-8</v>
          </cell>
        </row>
        <row r="65">
          <cell r="ET65">
            <v>39118</v>
          </cell>
          <cell r="EU65">
            <v>9.9999999999999995E-8</v>
          </cell>
        </row>
        <row r="66">
          <cell r="ET66">
            <v>39162</v>
          </cell>
          <cell r="EU66">
            <v>9.9999999999999995E-8</v>
          </cell>
        </row>
        <row r="67">
          <cell r="ET67">
            <v>39180</v>
          </cell>
          <cell r="EU67">
            <v>9.9999999999999995E-8</v>
          </cell>
        </row>
        <row r="68">
          <cell r="ET68">
            <v>39181</v>
          </cell>
          <cell r="EU68">
            <v>9.9999999999999995E-8</v>
          </cell>
        </row>
        <row r="69">
          <cell r="ET69">
            <v>39203</v>
          </cell>
          <cell r="EU69">
            <v>9.9999999999999995E-8</v>
          </cell>
        </row>
        <row r="70">
          <cell r="ET70">
            <v>39340</v>
          </cell>
          <cell r="EU70">
            <v>0.5</v>
          </cell>
        </row>
        <row r="71">
          <cell r="ET71">
            <v>39341</v>
          </cell>
          <cell r="EU71">
            <v>9.9999999999999995E-8</v>
          </cell>
        </row>
        <row r="72">
          <cell r="ET72">
            <v>39406</v>
          </cell>
          <cell r="EU72">
            <v>9.9999999999999995E-8</v>
          </cell>
        </row>
        <row r="73">
          <cell r="ET73">
            <v>39428</v>
          </cell>
          <cell r="EU73">
            <v>9.9999999999999995E-8</v>
          </cell>
        </row>
        <row r="74">
          <cell r="ET74">
            <v>39440</v>
          </cell>
          <cell r="EU74">
            <v>0.5</v>
          </cell>
        </row>
        <row r="75">
          <cell r="ET75">
            <v>39441</v>
          </cell>
          <cell r="EU75">
            <v>9.9999999999999995E-8</v>
          </cell>
        </row>
        <row r="76">
          <cell r="ET76">
            <v>39447</v>
          </cell>
          <cell r="EU76">
            <v>0.5</v>
          </cell>
        </row>
        <row r="77">
          <cell r="ET77">
            <v>39176</v>
          </cell>
          <cell r="EU77">
            <v>0.67</v>
          </cell>
        </row>
        <row r="78">
          <cell r="ET78">
            <v>39177</v>
          </cell>
          <cell r="EU78">
            <v>0.67</v>
          </cell>
        </row>
        <row r="79">
          <cell r="ET79">
            <v>39178</v>
          </cell>
          <cell r="EU79">
            <v>0.67</v>
          </cell>
        </row>
        <row r="80">
          <cell r="ET80">
            <v>39179</v>
          </cell>
          <cell r="EU80">
            <v>0.67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E (2)"/>
      <sheetName val="AOE (3)"/>
      <sheetName val="DOWN (1)"/>
      <sheetName val="PROD_FUND"/>
      <sheetName val="SCRAP_FUND (5.3)"/>
      <sheetName val="SCRAP_FUND (3.5)"/>
      <sheetName val="PROD_MAQ"/>
      <sheetName val="SCRAP_MAQ (5.3)"/>
      <sheetName val="SCRAP_MAQ (3.5)"/>
      <sheetName val="PROD_SK"/>
      <sheetName val="SCRAP_FOSF (5.3)"/>
      <sheetName val="SCRAP_FOSF (3.5)"/>
      <sheetName val="PROD_ENS"/>
      <sheetName val="SCRAP_ENS (5.3)"/>
      <sheetName val="SCRAP_ENS (3.5)"/>
      <sheetName val="FLUJO SCRAP (1)"/>
      <sheetName val="TEND_OEE (1)"/>
      <sheetName val="TEND_OAE (2)"/>
      <sheetName val="REPORTE (1)"/>
      <sheetName val="REPORTE (1b)"/>
      <sheetName val="TENDENCIAS (1)"/>
      <sheetName val="GOAL (FUND)"/>
      <sheetName val="GOAL (MAQ)"/>
      <sheetName val="GOAL (SK)"/>
      <sheetName val="GOAL (ENS)"/>
      <sheetName val="DB_WEEK"/>
      <sheetName val="TENDENCIAS (2)"/>
      <sheetName val="4.0 Resumen Semanal"/>
    </sheetNames>
    <sheetDataSet>
      <sheetData sheetId="0">
        <row r="4">
          <cell r="M4">
            <v>38537</v>
          </cell>
          <cell r="N4">
            <v>38538</v>
          </cell>
          <cell r="O4">
            <v>38539</v>
          </cell>
          <cell r="P4">
            <v>38540</v>
          </cell>
          <cell r="Q4">
            <v>38541</v>
          </cell>
          <cell r="R4">
            <v>38542</v>
          </cell>
          <cell r="S4">
            <v>38543</v>
          </cell>
          <cell r="T4">
            <v>38544</v>
          </cell>
          <cell r="U4">
            <v>38545</v>
          </cell>
          <cell r="V4">
            <v>38546</v>
          </cell>
          <cell r="W4">
            <v>38547</v>
          </cell>
          <cell r="X4">
            <v>38548</v>
          </cell>
          <cell r="Y4">
            <v>38549</v>
          </cell>
          <cell r="Z4">
            <v>38550</v>
          </cell>
          <cell r="AA4">
            <v>38551</v>
          </cell>
          <cell r="AB4">
            <v>38552</v>
          </cell>
          <cell r="AC4">
            <v>38553</v>
          </cell>
          <cell r="AD4">
            <v>38554</v>
          </cell>
          <cell r="AE4">
            <v>38555</v>
          </cell>
          <cell r="AF4">
            <v>38556</v>
          </cell>
          <cell r="AG4">
            <v>38557</v>
          </cell>
          <cell r="AH4">
            <v>38558</v>
          </cell>
          <cell r="AI4">
            <v>38559</v>
          </cell>
          <cell r="AJ4">
            <v>38560</v>
          </cell>
          <cell r="AK4">
            <v>38561</v>
          </cell>
          <cell r="AL4">
            <v>38562</v>
          </cell>
          <cell r="AM4">
            <v>38563</v>
          </cell>
          <cell r="AN4">
            <v>38564</v>
          </cell>
          <cell r="AO4">
            <v>38565</v>
          </cell>
          <cell r="AP4">
            <v>38566</v>
          </cell>
          <cell r="AQ4">
            <v>38567</v>
          </cell>
          <cell r="AR4">
            <v>38568</v>
          </cell>
          <cell r="AS4">
            <v>38569</v>
          </cell>
          <cell r="AT4">
            <v>38570</v>
          </cell>
          <cell r="AU4">
            <v>38571</v>
          </cell>
        </row>
        <row r="5">
          <cell r="M5">
            <v>25072</v>
          </cell>
          <cell r="N5">
            <v>-1357</v>
          </cell>
          <cell r="O5">
            <v>5.4124122527121891E-2</v>
          </cell>
          <cell r="P5">
            <v>23715</v>
          </cell>
          <cell r="Q5">
            <v>0.38335648148148149</v>
          </cell>
          <cell r="R5">
            <v>0</v>
          </cell>
          <cell r="S5">
            <v>0</v>
          </cell>
          <cell r="T5">
            <v>24404</v>
          </cell>
          <cell r="U5">
            <v>-982</v>
          </cell>
          <cell r="V5">
            <v>4.0239305031961971E-2</v>
          </cell>
          <cell r="W5">
            <v>23422</v>
          </cell>
          <cell r="X5">
            <v>0.46844505945059445</v>
          </cell>
          <cell r="Y5">
            <v>0</v>
          </cell>
          <cell r="Z5">
            <v>0</v>
          </cell>
          <cell r="AA5">
            <v>7776</v>
          </cell>
          <cell r="AB5">
            <v>-290</v>
          </cell>
          <cell r="AC5">
            <v>3.7294238683127569E-2</v>
          </cell>
          <cell r="AD5">
            <v>7486</v>
          </cell>
          <cell r="AE5">
            <v>0.3879999999999999</v>
          </cell>
          <cell r="AF5">
            <v>0</v>
          </cell>
          <cell r="AG5">
            <v>0</v>
          </cell>
          <cell r="AH5">
            <v>2200</v>
          </cell>
          <cell r="AI5">
            <v>-90</v>
          </cell>
          <cell r="AJ5">
            <v>4.0909090909090909E-2</v>
          </cell>
          <cell r="AK5">
            <v>2110</v>
          </cell>
          <cell r="AL5">
            <v>0.13425925925925919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 t="e">
            <v>#DIV/0!</v>
          </cell>
          <cell r="AT5">
            <v>0</v>
          </cell>
          <cell r="AU5">
            <v>0</v>
          </cell>
        </row>
        <row r="6">
          <cell r="M6">
            <v>8131.7647058823532</v>
          </cell>
          <cell r="N6">
            <v>8131.7647058823532</v>
          </cell>
          <cell r="O6">
            <v>8131.7647058823532</v>
          </cell>
          <cell r="P6">
            <v>8131.7647058823532</v>
          </cell>
          <cell r="Q6">
            <v>4065.8823529411766</v>
          </cell>
          <cell r="R6">
            <v>4065.8823529411766</v>
          </cell>
          <cell r="S6">
            <v>0</v>
          </cell>
          <cell r="T6">
            <v>8131.7647058823532</v>
          </cell>
          <cell r="U6">
            <v>8131.7647058823532</v>
          </cell>
          <cell r="V6">
            <v>8131.7647058823532</v>
          </cell>
          <cell r="W6">
            <v>8131.7647058823532</v>
          </cell>
          <cell r="X6">
            <v>5251.7647058823532</v>
          </cell>
          <cell r="Y6">
            <v>8131.7647058823532</v>
          </cell>
          <cell r="Z6">
            <v>0</v>
          </cell>
          <cell r="AA6">
            <v>2541.1764705882351</v>
          </cell>
          <cell r="AB6">
            <v>2541.1764705882351</v>
          </cell>
          <cell r="AC6">
            <v>2541.1764705882351</v>
          </cell>
          <cell r="AD6">
            <v>0</v>
          </cell>
          <cell r="AE6">
            <v>2541.1764705882351</v>
          </cell>
          <cell r="AF6">
            <v>2541.1764705882351</v>
          </cell>
          <cell r="AG6">
            <v>0</v>
          </cell>
          <cell r="AH6">
            <v>2541.1764705882351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M7">
            <v>4800</v>
          </cell>
          <cell r="N7">
            <v>5624</v>
          </cell>
          <cell r="O7">
            <v>5092</v>
          </cell>
          <cell r="P7">
            <v>4216</v>
          </cell>
          <cell r="Q7">
            <v>2432</v>
          </cell>
          <cell r="R7">
            <v>2908</v>
          </cell>
          <cell r="S7">
            <v>0</v>
          </cell>
          <cell r="T7">
            <v>4408</v>
          </cell>
          <cell r="U7">
            <v>4992</v>
          </cell>
          <cell r="V7">
            <v>3296</v>
          </cell>
          <cell r="W7">
            <v>3184</v>
          </cell>
          <cell r="X7">
            <v>3380</v>
          </cell>
          <cell r="Y7">
            <v>5144</v>
          </cell>
          <cell r="Z7">
            <v>0</v>
          </cell>
          <cell r="AA7">
            <v>1192</v>
          </cell>
          <cell r="AB7">
            <v>2000</v>
          </cell>
          <cell r="AC7">
            <v>1708</v>
          </cell>
          <cell r="AD7">
            <v>0</v>
          </cell>
          <cell r="AE7">
            <v>1184</v>
          </cell>
          <cell r="AF7">
            <v>1692</v>
          </cell>
          <cell r="AG7">
            <v>0</v>
          </cell>
          <cell r="AH7">
            <v>2200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M8">
            <v>0.40972222222222221</v>
          </cell>
          <cell r="N8">
            <v>0.30839120370370376</v>
          </cell>
          <cell r="O8">
            <v>0.37381365740740746</v>
          </cell>
          <cell r="P8">
            <v>0.48153935185185182</v>
          </cell>
          <cell r="Q8">
            <v>0.4018518518518519</v>
          </cell>
          <cell r="R8">
            <v>0.28478009259259263</v>
          </cell>
          <cell r="S8">
            <v>0</v>
          </cell>
          <cell r="T8">
            <v>0.45792824074074079</v>
          </cell>
          <cell r="U8">
            <v>0.38611111111111118</v>
          </cell>
          <cell r="V8">
            <v>0.594675925925926</v>
          </cell>
          <cell r="W8">
            <v>0.608449074074074</v>
          </cell>
          <cell r="X8">
            <v>0.35640681003584229</v>
          </cell>
          <cell r="Y8">
            <v>0.36741898148148144</v>
          </cell>
          <cell r="Z8">
            <v>0</v>
          </cell>
          <cell r="AA8">
            <v>0.53092592592592591</v>
          </cell>
          <cell r="AB8">
            <v>0.21296296296296291</v>
          </cell>
          <cell r="AC8">
            <v>0.32787037037037037</v>
          </cell>
          <cell r="AD8">
            <v>0</v>
          </cell>
          <cell r="AE8">
            <v>0.53407407407407403</v>
          </cell>
          <cell r="AF8">
            <v>0.33416666666666661</v>
          </cell>
          <cell r="AG8">
            <v>0</v>
          </cell>
          <cell r="AH8">
            <v>0.13425925925925919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</row>
        <row r="9">
          <cell r="M9">
            <v>189</v>
          </cell>
          <cell r="N9">
            <v>516</v>
          </cell>
          <cell r="O9">
            <v>178</v>
          </cell>
          <cell r="P9">
            <v>301</v>
          </cell>
          <cell r="Q9">
            <v>85</v>
          </cell>
          <cell r="R9">
            <v>88</v>
          </cell>
          <cell r="S9">
            <v>0</v>
          </cell>
          <cell r="T9">
            <v>150</v>
          </cell>
          <cell r="U9">
            <v>192</v>
          </cell>
          <cell r="V9">
            <v>168</v>
          </cell>
          <cell r="W9">
            <v>149</v>
          </cell>
          <cell r="X9">
            <v>152</v>
          </cell>
          <cell r="Y9">
            <v>171</v>
          </cell>
          <cell r="Z9">
            <v>0</v>
          </cell>
          <cell r="AA9">
            <v>49</v>
          </cell>
          <cell r="AB9">
            <v>59</v>
          </cell>
          <cell r="AC9">
            <v>58</v>
          </cell>
          <cell r="AD9">
            <v>0</v>
          </cell>
          <cell r="AE9">
            <v>73</v>
          </cell>
          <cell r="AF9">
            <v>51</v>
          </cell>
          <cell r="AG9">
            <v>0</v>
          </cell>
          <cell r="AH9">
            <v>90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</row>
        <row r="10">
          <cell r="M10">
            <v>3.9375E-2</v>
          </cell>
          <cell r="N10">
            <v>9.1749644381223322E-2</v>
          </cell>
          <cell r="O10">
            <v>3.4956794972505895E-2</v>
          </cell>
          <cell r="P10">
            <v>7.1394686907020874E-2</v>
          </cell>
          <cell r="Q10">
            <v>3.4950657894736843E-2</v>
          </cell>
          <cell r="R10">
            <v>3.0261348005502064E-2</v>
          </cell>
          <cell r="S10">
            <v>0</v>
          </cell>
          <cell r="T10">
            <v>3.4029038112522683E-2</v>
          </cell>
          <cell r="U10">
            <v>3.8461538461538464E-2</v>
          </cell>
          <cell r="V10">
            <v>5.0970873786407765E-2</v>
          </cell>
          <cell r="W10">
            <v>4.6796482412060303E-2</v>
          </cell>
          <cell r="X10">
            <v>4.4970414201183431E-2</v>
          </cell>
          <cell r="Y10">
            <v>3.3242612752721619E-2</v>
          </cell>
          <cell r="Z10">
            <v>0</v>
          </cell>
          <cell r="AA10">
            <v>4.1107382550335574E-2</v>
          </cell>
          <cell r="AB10">
            <v>2.9499999999999998E-2</v>
          </cell>
          <cell r="AC10">
            <v>3.3957845433255272E-2</v>
          </cell>
          <cell r="AD10">
            <v>0</v>
          </cell>
          <cell r="AE10">
            <v>6.1655405405405407E-2</v>
          </cell>
          <cell r="AF10">
            <v>3.0141843971631204E-2</v>
          </cell>
          <cell r="AG10">
            <v>0</v>
          </cell>
          <cell r="AH10">
            <v>4.0909090909090909E-2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</row>
        <row r="11">
          <cell r="M11">
            <v>25619</v>
          </cell>
          <cell r="N11">
            <v>-885</v>
          </cell>
          <cell r="O11">
            <v>3.4544673874858503E-2</v>
          </cell>
          <cell r="P11">
            <v>24734</v>
          </cell>
          <cell r="Q11">
            <v>0.40696759259259263</v>
          </cell>
          <cell r="R11">
            <v>0</v>
          </cell>
          <cell r="S11">
            <v>0</v>
          </cell>
          <cell r="T11">
            <v>27679</v>
          </cell>
          <cell r="U11">
            <v>-1140</v>
          </cell>
          <cell r="V11">
            <v>4.1186459048376027E-2</v>
          </cell>
          <cell r="W11">
            <v>26539</v>
          </cell>
          <cell r="X11">
            <v>0.39711075235752347</v>
          </cell>
          <cell r="Y11">
            <v>0</v>
          </cell>
          <cell r="Z11">
            <v>0</v>
          </cell>
          <cell r="AA11">
            <v>34562</v>
          </cell>
          <cell r="AB11">
            <v>-896</v>
          </cell>
          <cell r="AC11">
            <v>2.5924425669810774E-2</v>
          </cell>
          <cell r="AD11">
            <v>33666</v>
          </cell>
          <cell r="AE11">
            <v>0.29162567515432092</v>
          </cell>
          <cell r="AF11">
            <v>0</v>
          </cell>
          <cell r="AG11">
            <v>0</v>
          </cell>
          <cell r="AH11">
            <v>5300</v>
          </cell>
          <cell r="AI11">
            <v>-773</v>
          </cell>
          <cell r="AJ11">
            <v>0.14584905660377359</v>
          </cell>
          <cell r="AK11">
            <v>4527</v>
          </cell>
          <cell r="AL11">
            <v>0.34823495370370372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 t="e">
            <v>#DIV/0!</v>
          </cell>
          <cell r="AT11">
            <v>0</v>
          </cell>
          <cell r="AU11">
            <v>0</v>
          </cell>
        </row>
        <row r="12">
          <cell r="M12">
            <v>5421.1764705882351</v>
          </cell>
          <cell r="N12">
            <v>5251.7647058823532</v>
          </cell>
          <cell r="O12">
            <v>8131.7647058823532</v>
          </cell>
          <cell r="P12">
            <v>8131.7647058823532</v>
          </cell>
          <cell r="Q12">
            <v>8131.7647058823532</v>
          </cell>
          <cell r="R12">
            <v>8131.7647058823532</v>
          </cell>
          <cell r="S12">
            <v>0</v>
          </cell>
          <cell r="T12">
            <v>8131.7647058823532</v>
          </cell>
          <cell r="U12">
            <v>8131.7647058823532</v>
          </cell>
          <cell r="V12">
            <v>8131.7647058823532</v>
          </cell>
          <cell r="W12">
            <v>8131.7647058823532</v>
          </cell>
          <cell r="X12">
            <v>5251.7647058823532</v>
          </cell>
          <cell r="Y12">
            <v>8131.7647058823532</v>
          </cell>
          <cell r="Z12">
            <v>0</v>
          </cell>
          <cell r="AA12">
            <v>8131.7647058823532</v>
          </cell>
          <cell r="AB12">
            <v>8131.7647058823532</v>
          </cell>
          <cell r="AC12">
            <v>8131.7647058823532</v>
          </cell>
          <cell r="AD12">
            <v>8131.7647058823532</v>
          </cell>
          <cell r="AE12">
            <v>8131.7647058823532</v>
          </cell>
          <cell r="AF12">
            <v>8131.7647058823532</v>
          </cell>
          <cell r="AG12">
            <v>0</v>
          </cell>
          <cell r="AH12">
            <v>8131.7647058823532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M13">
            <v>3104</v>
          </cell>
          <cell r="N13">
            <v>2256</v>
          </cell>
          <cell r="O13">
            <v>4332</v>
          </cell>
          <cell r="P13">
            <v>5603</v>
          </cell>
          <cell r="Q13">
            <v>5480</v>
          </cell>
          <cell r="R13">
            <v>4844</v>
          </cell>
          <cell r="S13">
            <v>0</v>
          </cell>
          <cell r="T13">
            <v>4167</v>
          </cell>
          <cell r="U13">
            <v>5924</v>
          </cell>
          <cell r="V13">
            <v>4564</v>
          </cell>
          <cell r="W13">
            <v>4952</v>
          </cell>
          <cell r="X13">
            <v>3340</v>
          </cell>
          <cell r="Y13">
            <v>4732</v>
          </cell>
          <cell r="Z13">
            <v>0</v>
          </cell>
          <cell r="AA13">
            <v>5196</v>
          </cell>
          <cell r="AB13">
            <v>6764</v>
          </cell>
          <cell r="AC13">
            <v>6642</v>
          </cell>
          <cell r="AD13">
            <v>6324</v>
          </cell>
          <cell r="AE13">
            <v>4360</v>
          </cell>
          <cell r="AF13">
            <v>5276</v>
          </cell>
          <cell r="AG13">
            <v>0</v>
          </cell>
          <cell r="AH13">
            <v>5300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</row>
        <row r="14">
          <cell r="M14">
            <v>0.42743055555555554</v>
          </cell>
          <cell r="N14">
            <v>0.57043010752688172</v>
          </cell>
          <cell r="O14">
            <v>0.4672743055555556</v>
          </cell>
          <cell r="P14">
            <v>0.31097366898148149</v>
          </cell>
          <cell r="Q14">
            <v>0.32609953703703709</v>
          </cell>
          <cell r="R14">
            <v>0.4043113425925926</v>
          </cell>
          <cell r="S14">
            <v>0</v>
          </cell>
          <cell r="T14">
            <v>0.48756510416666665</v>
          </cell>
          <cell r="U14">
            <v>0.2714988425925926</v>
          </cell>
          <cell r="V14">
            <v>0.43874421296296295</v>
          </cell>
          <cell r="W14">
            <v>0.39103009259259258</v>
          </cell>
          <cell r="X14">
            <v>0.36402329749103945</v>
          </cell>
          <cell r="Y14">
            <v>0.41808449074074072</v>
          </cell>
          <cell r="Z14">
            <v>0</v>
          </cell>
          <cell r="AA14">
            <v>0.36102430555555554</v>
          </cell>
          <cell r="AB14">
            <v>0.16820023148148155</v>
          </cell>
          <cell r="AC14">
            <v>0.18320312500000002</v>
          </cell>
          <cell r="AD14">
            <v>0.22230902777777783</v>
          </cell>
          <cell r="AE14">
            <v>0.46383101851851849</v>
          </cell>
          <cell r="AF14">
            <v>0.35118634259259263</v>
          </cell>
          <cell r="AG14">
            <v>0</v>
          </cell>
          <cell r="AH14">
            <v>0.34823495370370372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M15">
            <v>157</v>
          </cell>
          <cell r="N15">
            <v>79</v>
          </cell>
          <cell r="O15">
            <v>168</v>
          </cell>
          <cell r="P15">
            <v>202</v>
          </cell>
          <cell r="Q15">
            <v>155</v>
          </cell>
          <cell r="R15">
            <v>124</v>
          </cell>
          <cell r="S15">
            <v>0</v>
          </cell>
          <cell r="T15">
            <v>118</v>
          </cell>
          <cell r="U15">
            <v>191</v>
          </cell>
          <cell r="V15">
            <v>138</v>
          </cell>
          <cell r="W15">
            <v>285</v>
          </cell>
          <cell r="X15">
            <v>207</v>
          </cell>
          <cell r="Y15">
            <v>201</v>
          </cell>
          <cell r="Z15">
            <v>0</v>
          </cell>
          <cell r="AA15">
            <v>177</v>
          </cell>
          <cell r="AB15">
            <v>117</v>
          </cell>
          <cell r="AC15">
            <v>135</v>
          </cell>
          <cell r="AD15">
            <v>125</v>
          </cell>
          <cell r="AE15">
            <v>175</v>
          </cell>
          <cell r="AF15">
            <v>167</v>
          </cell>
          <cell r="AG15">
            <v>0</v>
          </cell>
          <cell r="AH15">
            <v>773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</row>
        <row r="16">
          <cell r="M16">
            <v>5.0579896907216496E-2</v>
          </cell>
          <cell r="N16">
            <v>3.5017730496453903E-2</v>
          </cell>
          <cell r="O16">
            <v>3.8781163434903045E-2</v>
          </cell>
          <cell r="P16">
            <v>3.605211493842584E-2</v>
          </cell>
          <cell r="Q16">
            <v>2.8284671532846715E-2</v>
          </cell>
          <cell r="R16">
            <v>2.5598678777869529E-2</v>
          </cell>
          <cell r="S16">
            <v>0</v>
          </cell>
          <cell r="T16">
            <v>2.8317734581233503E-2</v>
          </cell>
          <cell r="U16">
            <v>3.2241728561782576E-2</v>
          </cell>
          <cell r="V16">
            <v>3.0236634531113058E-2</v>
          </cell>
          <cell r="W16">
            <v>5.7552504038772212E-2</v>
          </cell>
          <cell r="X16">
            <v>6.1976047904191617E-2</v>
          </cell>
          <cell r="Y16">
            <v>4.2476754015215556E-2</v>
          </cell>
          <cell r="Z16">
            <v>0</v>
          </cell>
          <cell r="AA16">
            <v>3.4064665127020784E-2</v>
          </cell>
          <cell r="AB16">
            <v>1.729745712596097E-2</v>
          </cell>
          <cell r="AC16">
            <v>2.032520325203252E-2</v>
          </cell>
          <cell r="AD16">
            <v>1.976597090449083E-2</v>
          </cell>
          <cell r="AE16">
            <v>4.0137614678899085E-2</v>
          </cell>
          <cell r="AF16">
            <v>3.165276724791509E-2</v>
          </cell>
          <cell r="AG16">
            <v>0</v>
          </cell>
          <cell r="AH16">
            <v>0.14584905660377359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M17">
            <v>27652</v>
          </cell>
          <cell r="N17">
            <v>-1145</v>
          </cell>
          <cell r="O17">
            <v>4.1407493128887606E-2</v>
          </cell>
          <cell r="P17">
            <v>26507</v>
          </cell>
          <cell r="Q17">
            <v>0.39769885198851984</v>
          </cell>
          <cell r="R17">
            <v>0</v>
          </cell>
          <cell r="S17">
            <v>0</v>
          </cell>
          <cell r="T17">
            <v>32156</v>
          </cell>
          <cell r="U17">
            <v>-1148</v>
          </cell>
          <cell r="V17">
            <v>3.570095783057594E-2</v>
          </cell>
          <cell r="W17">
            <v>31008</v>
          </cell>
          <cell r="X17">
            <v>0.34093846450617271</v>
          </cell>
          <cell r="Y17">
            <v>0</v>
          </cell>
          <cell r="Z17">
            <v>0</v>
          </cell>
          <cell r="AA17">
            <v>32156</v>
          </cell>
          <cell r="AB17">
            <v>-1090</v>
          </cell>
          <cell r="AC17">
            <v>3.3897250901853464E-2</v>
          </cell>
          <cell r="AD17">
            <v>31066</v>
          </cell>
          <cell r="AE17">
            <v>0.34093846450617271</v>
          </cell>
          <cell r="AF17">
            <v>0</v>
          </cell>
          <cell r="AG17">
            <v>0</v>
          </cell>
          <cell r="AH17">
            <v>4928</v>
          </cell>
          <cell r="AI17">
            <v>-215</v>
          </cell>
          <cell r="AJ17">
            <v>4.3628246753246752E-2</v>
          </cell>
          <cell r="AK17">
            <v>4713</v>
          </cell>
          <cell r="AL17">
            <v>0.39398148148148149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 t="e">
            <v>#DIV/0!</v>
          </cell>
          <cell r="AT17">
            <v>0</v>
          </cell>
          <cell r="AU17">
            <v>0</v>
          </cell>
        </row>
        <row r="18">
          <cell r="M18">
            <v>5251.7647058823532</v>
          </cell>
          <cell r="N18">
            <v>8131.7647058823532</v>
          </cell>
          <cell r="O18">
            <v>8131.7647058823532</v>
          </cell>
          <cell r="P18">
            <v>8131.7647058823532</v>
          </cell>
          <cell r="Q18">
            <v>8131.7647058823532</v>
          </cell>
          <cell r="R18">
            <v>8131.7647058823532</v>
          </cell>
          <cell r="S18">
            <v>0</v>
          </cell>
          <cell r="T18">
            <v>8131.7647058823532</v>
          </cell>
          <cell r="U18">
            <v>8131.7647058823532</v>
          </cell>
          <cell r="V18">
            <v>8131.7647058823532</v>
          </cell>
          <cell r="W18">
            <v>8131.7647058823532</v>
          </cell>
          <cell r="X18">
            <v>8131.7647058823532</v>
          </cell>
          <cell r="Y18">
            <v>8131.7647058823532</v>
          </cell>
          <cell r="Z18">
            <v>0</v>
          </cell>
          <cell r="AA18">
            <v>8131.7647058823532</v>
          </cell>
          <cell r="AB18">
            <v>8131.7647058823532</v>
          </cell>
          <cell r="AC18">
            <v>8131.7647058823532</v>
          </cell>
          <cell r="AD18">
            <v>8131.7647058823532</v>
          </cell>
          <cell r="AE18">
            <v>8131.7647058823532</v>
          </cell>
          <cell r="AF18">
            <v>8131.7647058823532</v>
          </cell>
          <cell r="AG18">
            <v>0</v>
          </cell>
          <cell r="AH18">
            <v>8131.7647058823532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</row>
        <row r="19">
          <cell r="M19">
            <v>2936</v>
          </cell>
          <cell r="N19">
            <v>5374</v>
          </cell>
          <cell r="O19">
            <v>5852</v>
          </cell>
          <cell r="P19">
            <v>5544</v>
          </cell>
          <cell r="Q19">
            <v>4458</v>
          </cell>
          <cell r="R19">
            <v>3488</v>
          </cell>
          <cell r="S19">
            <v>0</v>
          </cell>
          <cell r="T19">
            <v>4692</v>
          </cell>
          <cell r="U19">
            <v>5392</v>
          </cell>
          <cell r="V19">
            <v>6068</v>
          </cell>
          <cell r="W19">
            <v>5348</v>
          </cell>
          <cell r="X19">
            <v>4984</v>
          </cell>
          <cell r="Y19">
            <v>5672</v>
          </cell>
          <cell r="Z19">
            <v>0</v>
          </cell>
          <cell r="AA19">
            <v>4036</v>
          </cell>
          <cell r="AB19">
            <v>5560</v>
          </cell>
          <cell r="AC19">
            <v>5620</v>
          </cell>
          <cell r="AD19">
            <v>5440</v>
          </cell>
          <cell r="AE19">
            <v>5816</v>
          </cell>
          <cell r="AF19">
            <v>5684</v>
          </cell>
          <cell r="AG19">
            <v>0</v>
          </cell>
          <cell r="AH19">
            <v>4928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M20">
            <v>0.44094982078853051</v>
          </cell>
          <cell r="N20">
            <v>0.33913483796296295</v>
          </cell>
          <cell r="O20">
            <v>0.28035300925925932</v>
          </cell>
          <cell r="P20">
            <v>0.31822916666666667</v>
          </cell>
          <cell r="Q20">
            <v>0.45177951388888893</v>
          </cell>
          <cell r="R20">
            <v>0.57106481481481475</v>
          </cell>
          <cell r="S20">
            <v>0</v>
          </cell>
          <cell r="T20">
            <v>0.42300347222222223</v>
          </cell>
          <cell r="U20">
            <v>0.3369212962962963</v>
          </cell>
          <cell r="V20">
            <v>0.25379050925925928</v>
          </cell>
          <cell r="W20">
            <v>0.34233217592592591</v>
          </cell>
          <cell r="X20">
            <v>0.38709490740740737</v>
          </cell>
          <cell r="Y20">
            <v>0.30248842592592595</v>
          </cell>
          <cell r="Z20">
            <v>0</v>
          </cell>
          <cell r="AA20">
            <v>0.50367476851851856</v>
          </cell>
          <cell r="AB20">
            <v>0.31626157407407407</v>
          </cell>
          <cell r="AC20">
            <v>0.30888310185185186</v>
          </cell>
          <cell r="AD20">
            <v>0.33101851851851849</v>
          </cell>
          <cell r="AE20">
            <v>0.28478009259259263</v>
          </cell>
          <cell r="AF20">
            <v>0.30101273148148155</v>
          </cell>
          <cell r="AG20">
            <v>0</v>
          </cell>
          <cell r="AH20">
            <v>0.39398148148148149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M21">
            <v>218</v>
          </cell>
          <cell r="N21">
            <v>191</v>
          </cell>
          <cell r="O21">
            <v>174</v>
          </cell>
          <cell r="P21">
            <v>182</v>
          </cell>
          <cell r="Q21">
            <v>188</v>
          </cell>
          <cell r="R21">
            <v>192</v>
          </cell>
          <cell r="S21">
            <v>0</v>
          </cell>
          <cell r="T21">
            <v>240</v>
          </cell>
          <cell r="U21">
            <v>176</v>
          </cell>
          <cell r="V21">
            <v>168</v>
          </cell>
          <cell r="W21">
            <v>186</v>
          </cell>
          <cell r="X21">
            <v>165</v>
          </cell>
          <cell r="Y21">
            <v>213</v>
          </cell>
          <cell r="Z21">
            <v>0</v>
          </cell>
          <cell r="AA21">
            <v>214</v>
          </cell>
          <cell r="AB21">
            <v>156</v>
          </cell>
          <cell r="AC21">
            <v>180</v>
          </cell>
          <cell r="AD21">
            <v>163</v>
          </cell>
          <cell r="AE21">
            <v>173</v>
          </cell>
          <cell r="AF21">
            <v>204</v>
          </cell>
          <cell r="AG21">
            <v>0</v>
          </cell>
          <cell r="AH21">
            <v>215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</row>
        <row r="22">
          <cell r="M22">
            <v>7.4250681198910082E-2</v>
          </cell>
          <cell r="N22">
            <v>3.5541496092296239E-2</v>
          </cell>
          <cell r="O22">
            <v>2.9733424470266577E-2</v>
          </cell>
          <cell r="P22">
            <v>3.2828282828282832E-2</v>
          </cell>
          <cell r="Q22">
            <v>4.2171377299237325E-2</v>
          </cell>
          <cell r="R22">
            <v>5.5045871559633031E-2</v>
          </cell>
          <cell r="S22">
            <v>0</v>
          </cell>
          <cell r="T22">
            <v>5.1150895140664961E-2</v>
          </cell>
          <cell r="U22">
            <v>3.2640949554896145E-2</v>
          </cell>
          <cell r="V22">
            <v>2.7686222808174028E-2</v>
          </cell>
          <cell r="W22">
            <v>3.4779356768885564E-2</v>
          </cell>
          <cell r="X22">
            <v>3.3105939004815406E-2</v>
          </cell>
          <cell r="Y22">
            <v>3.755289139633286E-2</v>
          </cell>
          <cell r="Z22">
            <v>0</v>
          </cell>
          <cell r="AA22">
            <v>5.3022794846382559E-2</v>
          </cell>
          <cell r="AB22">
            <v>2.8057553956834531E-2</v>
          </cell>
          <cell r="AC22">
            <v>3.2028469750889681E-2</v>
          </cell>
          <cell r="AD22">
            <v>2.9963235294117648E-2</v>
          </cell>
          <cell r="AE22">
            <v>2.9745529573590095E-2</v>
          </cell>
          <cell r="AF22">
            <v>3.5890218156228011E-2</v>
          </cell>
          <cell r="AG22">
            <v>0</v>
          </cell>
          <cell r="AH22">
            <v>4.3628246753246752E-2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</row>
        <row r="23">
          <cell r="M23">
            <v>16929</v>
          </cell>
          <cell r="N23">
            <v>-442</v>
          </cell>
          <cell r="O23">
            <v>2.6109043652903303E-2</v>
          </cell>
          <cell r="P23">
            <v>16487</v>
          </cell>
          <cell r="Q23">
            <v>0.41902252906976745</v>
          </cell>
          <cell r="R23">
            <v>0</v>
          </cell>
          <cell r="S23">
            <v>0</v>
          </cell>
          <cell r="T23">
            <v>29930</v>
          </cell>
          <cell r="U23">
            <v>-991</v>
          </cell>
          <cell r="V23">
            <v>3.3110591379886402E-2</v>
          </cell>
          <cell r="W23">
            <v>28939</v>
          </cell>
          <cell r="X23">
            <v>0.38656201774691346</v>
          </cell>
          <cell r="Y23">
            <v>0</v>
          </cell>
          <cell r="Z23">
            <v>0</v>
          </cell>
          <cell r="AA23">
            <v>34524</v>
          </cell>
          <cell r="AB23">
            <v>-1126</v>
          </cell>
          <cell r="AC23">
            <v>3.2614992469007065E-2</v>
          </cell>
          <cell r="AD23">
            <v>33398</v>
          </cell>
          <cell r="AE23">
            <v>0.29240451388888877</v>
          </cell>
          <cell r="AF23">
            <v>0</v>
          </cell>
          <cell r="AG23">
            <v>0</v>
          </cell>
          <cell r="AH23">
            <v>5460</v>
          </cell>
          <cell r="AI23">
            <v>-129</v>
          </cell>
          <cell r="AJ23">
            <v>2.3626373626373626E-2</v>
          </cell>
          <cell r="AK23">
            <v>5331</v>
          </cell>
          <cell r="AL23">
            <v>0.19427083333333328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 t="e">
            <v>#DIV/0!</v>
          </cell>
          <cell r="AT23">
            <v>0</v>
          </cell>
          <cell r="AU23">
            <v>0</v>
          </cell>
        </row>
        <row r="24">
          <cell r="M24">
            <v>8131.7647058823532</v>
          </cell>
          <cell r="N24">
            <v>8131.7647058823532</v>
          </cell>
          <cell r="O24">
            <v>2032.9411764705883</v>
          </cell>
          <cell r="P24">
            <v>2710.5882352941176</v>
          </cell>
          <cell r="Q24">
            <v>0</v>
          </cell>
          <cell r="R24">
            <v>8131.7647058823532</v>
          </cell>
          <cell r="S24">
            <v>0</v>
          </cell>
          <cell r="T24">
            <v>8131.7647058823532</v>
          </cell>
          <cell r="U24">
            <v>8131.7647058823532</v>
          </cell>
          <cell r="V24">
            <v>8131.7647058823532</v>
          </cell>
          <cell r="W24">
            <v>8131.7647058823532</v>
          </cell>
          <cell r="X24">
            <v>8131.7647058823532</v>
          </cell>
          <cell r="Y24">
            <v>8131.7647058823532</v>
          </cell>
          <cell r="Z24">
            <v>0</v>
          </cell>
          <cell r="AA24">
            <v>8131.7647058823532</v>
          </cell>
          <cell r="AB24">
            <v>8131.7647058823532</v>
          </cell>
          <cell r="AC24">
            <v>8131.7647058823532</v>
          </cell>
          <cell r="AD24">
            <v>8131.7647058823532</v>
          </cell>
          <cell r="AE24">
            <v>8131.7647058823532</v>
          </cell>
          <cell r="AF24">
            <v>8131.7647058823532</v>
          </cell>
          <cell r="AG24">
            <v>0</v>
          </cell>
          <cell r="AH24">
            <v>6776.4705882352937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5">
          <cell r="M25">
            <v>4688</v>
          </cell>
          <cell r="N25">
            <v>4512</v>
          </cell>
          <cell r="O25">
            <v>1985</v>
          </cell>
          <cell r="P25">
            <v>724</v>
          </cell>
          <cell r="Q25">
            <v>0</v>
          </cell>
          <cell r="R25">
            <v>5020</v>
          </cell>
          <cell r="S25">
            <v>0</v>
          </cell>
          <cell r="T25">
            <v>4908</v>
          </cell>
          <cell r="U25">
            <v>4712</v>
          </cell>
          <cell r="V25">
            <v>2798</v>
          </cell>
          <cell r="W25">
            <v>5748</v>
          </cell>
          <cell r="X25">
            <v>6040</v>
          </cell>
          <cell r="Y25">
            <v>5724</v>
          </cell>
          <cell r="Z25">
            <v>0</v>
          </cell>
          <cell r="AA25">
            <v>4884</v>
          </cell>
          <cell r="AB25">
            <v>6096</v>
          </cell>
          <cell r="AC25">
            <v>6132</v>
          </cell>
          <cell r="AD25">
            <v>5856</v>
          </cell>
          <cell r="AE25">
            <v>6416</v>
          </cell>
          <cell r="AF25">
            <v>5140</v>
          </cell>
          <cell r="AG25">
            <v>0</v>
          </cell>
          <cell r="AH25">
            <v>5460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</row>
        <row r="26">
          <cell r="M26">
            <v>0.42349537037037044</v>
          </cell>
          <cell r="N26">
            <v>0.44513888888888886</v>
          </cell>
          <cell r="O26">
            <v>2.358217592592593E-2</v>
          </cell>
          <cell r="P26">
            <v>0.73289930555555549</v>
          </cell>
          <cell r="Q26">
            <v>0</v>
          </cell>
          <cell r="R26">
            <v>0.38266782407407407</v>
          </cell>
          <cell r="S26">
            <v>0</v>
          </cell>
          <cell r="T26">
            <v>0.39644097222222219</v>
          </cell>
          <cell r="U26">
            <v>0.42054398148148153</v>
          </cell>
          <cell r="V26">
            <v>0.65591724537037033</v>
          </cell>
          <cell r="W26">
            <v>0.29314236111111114</v>
          </cell>
          <cell r="X26">
            <v>0.25723379629629628</v>
          </cell>
          <cell r="Y26">
            <v>0.29609375000000004</v>
          </cell>
          <cell r="Z26">
            <v>0</v>
          </cell>
          <cell r="AA26">
            <v>0.39939236111111109</v>
          </cell>
          <cell r="AB26">
            <v>0.25034722222222228</v>
          </cell>
          <cell r="AC26">
            <v>0.24592013888888886</v>
          </cell>
          <cell r="AD26">
            <v>0.27986111111111112</v>
          </cell>
          <cell r="AE26">
            <v>0.21099537037037042</v>
          </cell>
          <cell r="AF26">
            <v>0.36791087962962965</v>
          </cell>
          <cell r="AG26">
            <v>0</v>
          </cell>
          <cell r="AH26">
            <v>0.19427083333333328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M27">
            <v>71</v>
          </cell>
          <cell r="N27">
            <v>165</v>
          </cell>
          <cell r="O27">
            <v>67</v>
          </cell>
          <cell r="P27">
            <v>0</v>
          </cell>
          <cell r="Q27">
            <v>0</v>
          </cell>
          <cell r="R27">
            <v>139</v>
          </cell>
          <cell r="S27">
            <v>0</v>
          </cell>
          <cell r="T27">
            <v>117</v>
          </cell>
          <cell r="U27">
            <v>198</v>
          </cell>
          <cell r="V27">
            <v>144</v>
          </cell>
          <cell r="W27">
            <v>198</v>
          </cell>
          <cell r="X27">
            <v>153</v>
          </cell>
          <cell r="Y27">
            <v>181</v>
          </cell>
          <cell r="Z27">
            <v>0</v>
          </cell>
          <cell r="AA27">
            <v>174</v>
          </cell>
          <cell r="AB27">
            <v>187</v>
          </cell>
          <cell r="AC27">
            <v>156</v>
          </cell>
          <cell r="AD27">
            <v>360</v>
          </cell>
          <cell r="AE27">
            <v>145</v>
          </cell>
          <cell r="AF27">
            <v>104</v>
          </cell>
          <cell r="AG27">
            <v>0</v>
          </cell>
          <cell r="AH27">
            <v>129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</row>
        <row r="28">
          <cell r="M28">
            <v>1.5145051194539249E-2</v>
          </cell>
          <cell r="N28">
            <v>3.6569148936170214E-2</v>
          </cell>
          <cell r="O28">
            <v>3.3753148614609575E-2</v>
          </cell>
          <cell r="P28">
            <v>0</v>
          </cell>
          <cell r="Q28">
            <v>0</v>
          </cell>
          <cell r="R28">
            <v>2.7689243027888447E-2</v>
          </cell>
          <cell r="S28">
            <v>0</v>
          </cell>
          <cell r="T28">
            <v>2.3838630806845965E-2</v>
          </cell>
          <cell r="U28">
            <v>4.202037351443124E-2</v>
          </cell>
          <cell r="V28">
            <v>5.1465332380271622E-2</v>
          </cell>
          <cell r="W28">
            <v>3.444676409185804E-2</v>
          </cell>
          <cell r="X28">
            <v>2.533112582781457E-2</v>
          </cell>
          <cell r="Y28">
            <v>3.1621243885394827E-2</v>
          </cell>
          <cell r="Z28">
            <v>0</v>
          </cell>
          <cell r="AA28">
            <v>3.562653562653563E-2</v>
          </cell>
          <cell r="AB28">
            <v>3.0675853018372702E-2</v>
          </cell>
          <cell r="AC28">
            <v>2.5440313111545987E-2</v>
          </cell>
          <cell r="AD28">
            <v>6.1475409836065573E-2</v>
          </cell>
          <cell r="AE28">
            <v>2.2599750623441398E-2</v>
          </cell>
          <cell r="AF28">
            <v>2.0233463035019456E-2</v>
          </cell>
          <cell r="AG28">
            <v>0</v>
          </cell>
          <cell r="AH28">
            <v>2.3626373626373626E-2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 t="e">
            <v>#DIV/0!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 t="e">
            <v>#DIV/0!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 t="e">
            <v>#DIV/0!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 t="e">
            <v>#DIV/0!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 t="e">
            <v>#DIV/0!</v>
          </cell>
          <cell r="AT29">
            <v>0</v>
          </cell>
          <cell r="AU29">
            <v>0</v>
          </cell>
        </row>
        <row r="30"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</row>
        <row r="33"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</row>
        <row r="34"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</row>
        <row r="35"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 t="e">
            <v>#DIV/0!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 t="e">
            <v>#DIV/0!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e">
            <v>#DIV/0!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 t="e">
            <v>#DIV/0!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 t="e">
            <v>#DIV/0!</v>
          </cell>
          <cell r="AT35">
            <v>0</v>
          </cell>
          <cell r="AU35">
            <v>0</v>
          </cell>
        </row>
        <row r="36"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</row>
        <row r="37"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</row>
        <row r="38"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</row>
        <row r="39"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</row>
        <row r="40"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</row>
        <row r="41">
          <cell r="M41">
            <v>95272</v>
          </cell>
          <cell r="N41">
            <v>-3829</v>
          </cell>
          <cell r="O41">
            <v>4.0190192291544212E-2</v>
          </cell>
          <cell r="P41">
            <v>91443</v>
          </cell>
          <cell r="Q41">
            <v>0.40045901445155163</v>
          </cell>
          <cell r="R41">
            <v>0</v>
          </cell>
          <cell r="S41">
            <v>0</v>
          </cell>
          <cell r="T41">
            <v>114169</v>
          </cell>
          <cell r="U41">
            <v>-4261</v>
          </cell>
          <cell r="V41">
            <v>3.7321864954584873E-2</v>
          </cell>
          <cell r="W41">
            <v>109908</v>
          </cell>
          <cell r="X41">
            <v>0.39721445786126008</v>
          </cell>
          <cell r="Y41">
            <v>0</v>
          </cell>
          <cell r="Z41">
            <v>0</v>
          </cell>
          <cell r="AA41">
            <v>109018</v>
          </cell>
          <cell r="AB41">
            <v>-3402</v>
          </cell>
          <cell r="AC41">
            <v>3.1205855913702323E-2</v>
          </cell>
          <cell r="AD41">
            <v>105616</v>
          </cell>
          <cell r="AE41">
            <v>0.31468687137616846</v>
          </cell>
          <cell r="AF41">
            <v>0</v>
          </cell>
          <cell r="AG41">
            <v>0</v>
          </cell>
          <cell r="AH41">
            <v>17888</v>
          </cell>
          <cell r="AI41">
            <v>-1207</v>
          </cell>
          <cell r="AJ41">
            <v>6.7475402504472273E-2</v>
          </cell>
          <cell r="AK41">
            <v>16681</v>
          </cell>
          <cell r="AL41">
            <v>0.30073583517292124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 t="e">
            <v>#DIV/0!</v>
          </cell>
          <cell r="AT41">
            <v>0</v>
          </cell>
          <cell r="AU41">
            <v>0</v>
          </cell>
        </row>
        <row r="42">
          <cell r="M42">
            <v>26936.470588235294</v>
          </cell>
          <cell r="N42">
            <v>29647.058823529413</v>
          </cell>
          <cell r="O42">
            <v>26428.235294117647</v>
          </cell>
          <cell r="P42">
            <v>27105.882352941178</v>
          </cell>
          <cell r="Q42">
            <v>20329.411764705881</v>
          </cell>
          <cell r="R42">
            <v>28461.176470588234</v>
          </cell>
          <cell r="S42">
            <v>0</v>
          </cell>
          <cell r="T42">
            <v>32527.058823529413</v>
          </cell>
          <cell r="U42">
            <v>32527.058823529413</v>
          </cell>
          <cell r="V42">
            <v>32527.058823529413</v>
          </cell>
          <cell r="W42">
            <v>32527.058823529413</v>
          </cell>
          <cell r="X42">
            <v>26767.058823529413</v>
          </cell>
          <cell r="Y42">
            <v>32527.058823529413</v>
          </cell>
          <cell r="Z42">
            <v>0</v>
          </cell>
          <cell r="AA42">
            <v>26936.470588235294</v>
          </cell>
          <cell r="AB42">
            <v>26936.470588235294</v>
          </cell>
          <cell r="AC42">
            <v>26936.470588235294</v>
          </cell>
          <cell r="AD42">
            <v>24395.294117647059</v>
          </cell>
          <cell r="AE42">
            <v>26936.470588235294</v>
          </cell>
          <cell r="AF42">
            <v>26936.470588235294</v>
          </cell>
          <cell r="AG42">
            <v>0</v>
          </cell>
          <cell r="AH42">
            <v>25581.176470588234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3">
          <cell r="M43">
            <v>15528</v>
          </cell>
          <cell r="N43">
            <v>17766</v>
          </cell>
          <cell r="O43">
            <v>17261</v>
          </cell>
          <cell r="P43">
            <v>16087</v>
          </cell>
          <cell r="Q43">
            <v>12370</v>
          </cell>
          <cell r="R43">
            <v>16260</v>
          </cell>
          <cell r="S43">
            <v>0</v>
          </cell>
          <cell r="T43">
            <v>18175</v>
          </cell>
          <cell r="U43">
            <v>21020</v>
          </cell>
          <cell r="V43">
            <v>16726</v>
          </cell>
          <cell r="W43">
            <v>19232</v>
          </cell>
          <cell r="X43">
            <v>17744</v>
          </cell>
          <cell r="Y43">
            <v>21272</v>
          </cell>
          <cell r="Z43">
            <v>0</v>
          </cell>
          <cell r="AA43">
            <v>15308</v>
          </cell>
          <cell r="AB43">
            <v>20420</v>
          </cell>
          <cell r="AC43">
            <v>20102</v>
          </cell>
          <cell r="AD43">
            <v>17620</v>
          </cell>
          <cell r="AE43">
            <v>17776</v>
          </cell>
          <cell r="AF43">
            <v>17792</v>
          </cell>
          <cell r="AG43">
            <v>0</v>
          </cell>
          <cell r="AH43">
            <v>17888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</row>
        <row r="44">
          <cell r="M44">
            <v>0.42353249475890986</v>
          </cell>
          <cell r="N44">
            <v>0.40075000000000005</v>
          </cell>
          <cell r="O44">
            <v>0.34687277421652418</v>
          </cell>
          <cell r="P44">
            <v>0.40651258680555558</v>
          </cell>
          <cell r="Q44">
            <v>0.39152199074074068</v>
          </cell>
          <cell r="R44">
            <v>0.42869543650793651</v>
          </cell>
          <cell r="S44">
            <v>0</v>
          </cell>
          <cell r="T44">
            <v>0.44123444733796302</v>
          </cell>
          <cell r="U44">
            <v>0.35376880787037035</v>
          </cell>
          <cell r="V44">
            <v>0.48578197337962969</v>
          </cell>
          <cell r="W44">
            <v>0.40873842592592591</v>
          </cell>
          <cell r="X44">
            <v>0.33709563994374125</v>
          </cell>
          <cell r="Y44">
            <v>0.34602141203703707</v>
          </cell>
          <cell r="Z44">
            <v>0</v>
          </cell>
          <cell r="AA44">
            <v>0.4316998602375961</v>
          </cell>
          <cell r="AB44">
            <v>0.24191998602375964</v>
          </cell>
          <cell r="AC44">
            <v>0.25372554157931515</v>
          </cell>
          <cell r="AD44">
            <v>0.27772955246913578</v>
          </cell>
          <cell r="AE44">
            <v>0.34007686932215231</v>
          </cell>
          <cell r="AF44">
            <v>0.33948287910552055</v>
          </cell>
          <cell r="AG44">
            <v>0</v>
          </cell>
          <cell r="AH44">
            <v>0.30073583517292124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M45">
            <v>635</v>
          </cell>
          <cell r="N45">
            <v>951</v>
          </cell>
          <cell r="O45">
            <v>587</v>
          </cell>
          <cell r="P45">
            <v>685</v>
          </cell>
          <cell r="Q45">
            <v>428</v>
          </cell>
          <cell r="R45">
            <v>543</v>
          </cell>
          <cell r="S45">
            <v>0</v>
          </cell>
          <cell r="T45">
            <v>625</v>
          </cell>
          <cell r="U45">
            <v>757</v>
          </cell>
          <cell r="V45">
            <v>618</v>
          </cell>
          <cell r="W45">
            <v>818</v>
          </cell>
          <cell r="X45">
            <v>677</v>
          </cell>
          <cell r="Y45">
            <v>766</v>
          </cell>
          <cell r="Z45">
            <v>0</v>
          </cell>
          <cell r="AA45">
            <v>614</v>
          </cell>
          <cell r="AB45">
            <v>519</v>
          </cell>
          <cell r="AC45">
            <v>529</v>
          </cell>
          <cell r="AD45">
            <v>648</v>
          </cell>
          <cell r="AE45">
            <v>566</v>
          </cell>
          <cell r="AF45">
            <v>526</v>
          </cell>
          <cell r="AG45">
            <v>0</v>
          </cell>
          <cell r="AH45">
            <v>1207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</row>
        <row r="46">
          <cell r="M46">
            <v>4.0893869139618753E-2</v>
          </cell>
          <cell r="N46">
            <v>5.3529213103681188E-2</v>
          </cell>
          <cell r="O46">
            <v>3.4007299692949425E-2</v>
          </cell>
          <cell r="P46">
            <v>4.2580965997389197E-2</v>
          </cell>
          <cell r="Q46">
            <v>3.459983831851253E-2</v>
          </cell>
          <cell r="R46">
            <v>3.3394833948339482E-2</v>
          </cell>
          <cell r="S46">
            <v>0</v>
          </cell>
          <cell r="T46">
            <v>3.4387895460797797E-2</v>
          </cell>
          <cell r="U46">
            <v>3.6013320647002856E-2</v>
          </cell>
          <cell r="V46">
            <v>3.6948463470046634E-2</v>
          </cell>
          <cell r="W46">
            <v>4.2533277870216303E-2</v>
          </cell>
          <cell r="X46">
            <v>3.815374211000902E-2</v>
          </cell>
          <cell r="Y46">
            <v>3.6009778112072205E-2</v>
          </cell>
          <cell r="Z46">
            <v>0</v>
          </cell>
          <cell r="AA46">
            <v>4.0109746537758034E-2</v>
          </cell>
          <cell r="AB46">
            <v>2.5416258570029382E-2</v>
          </cell>
          <cell r="AC46">
            <v>2.6315789473684209E-2</v>
          </cell>
          <cell r="AD46">
            <v>3.6776390465380247E-2</v>
          </cell>
          <cell r="AE46">
            <v>3.1840684068406844E-2</v>
          </cell>
          <cell r="AF46">
            <v>2.9563848920863309E-2</v>
          </cell>
          <cell r="AG46">
            <v>0</v>
          </cell>
          <cell r="AH46">
            <v>6.7475402504472273E-2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</row>
        <row r="48">
          <cell r="M48">
            <v>19119</v>
          </cell>
          <cell r="N48">
            <v>-3024</v>
          </cell>
          <cell r="O48">
            <v>0.1581672681625608</v>
          </cell>
          <cell r="P48">
            <v>16095</v>
          </cell>
          <cell r="Q48">
            <v>0.41208487084870848</v>
          </cell>
          <cell r="R48">
            <v>0</v>
          </cell>
          <cell r="S48">
            <v>0</v>
          </cell>
          <cell r="T48">
            <v>17655</v>
          </cell>
          <cell r="U48">
            <v>-1148</v>
          </cell>
          <cell r="V48">
            <v>6.5024072500708019E-2</v>
          </cell>
          <cell r="W48">
            <v>16507</v>
          </cell>
          <cell r="X48">
            <v>0.28925120772946855</v>
          </cell>
          <cell r="Y48">
            <v>0</v>
          </cell>
          <cell r="Z48">
            <v>0</v>
          </cell>
          <cell r="AA48">
            <v>22197</v>
          </cell>
          <cell r="AB48">
            <v>-1432</v>
          </cell>
          <cell r="AC48">
            <v>6.451322250754607E-2</v>
          </cell>
          <cell r="AD48">
            <v>20765</v>
          </cell>
          <cell r="AE48">
            <v>0.31743542435424354</v>
          </cell>
          <cell r="AF48">
            <v>0</v>
          </cell>
          <cell r="AG48">
            <v>0</v>
          </cell>
          <cell r="AH48">
            <v>4533</v>
          </cell>
          <cell r="AI48">
            <v>-349</v>
          </cell>
          <cell r="AJ48">
            <v>7.699095521729539E-2</v>
          </cell>
          <cell r="AK48">
            <v>4184</v>
          </cell>
          <cell r="AL48">
            <v>0.21302083333333333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 t="e">
            <v>#DIV/0!</v>
          </cell>
          <cell r="AT48">
            <v>0</v>
          </cell>
          <cell r="AU48">
            <v>0</v>
          </cell>
        </row>
        <row r="49">
          <cell r="M49">
            <v>5760</v>
          </cell>
          <cell r="N49">
            <v>5760</v>
          </cell>
          <cell r="O49">
            <v>5760</v>
          </cell>
          <cell r="P49">
            <v>5760</v>
          </cell>
          <cell r="Q49">
            <v>5760</v>
          </cell>
          <cell r="R49">
            <v>3720</v>
          </cell>
          <cell r="S49">
            <v>0</v>
          </cell>
          <cell r="T49">
            <v>0</v>
          </cell>
          <cell r="U49">
            <v>3840</v>
          </cell>
          <cell r="V49">
            <v>5760</v>
          </cell>
          <cell r="W49">
            <v>5760</v>
          </cell>
          <cell r="X49">
            <v>5760</v>
          </cell>
          <cell r="Y49">
            <v>3720</v>
          </cell>
          <cell r="Z49">
            <v>0</v>
          </cell>
          <cell r="AA49">
            <v>5760</v>
          </cell>
          <cell r="AB49">
            <v>5760</v>
          </cell>
          <cell r="AC49">
            <v>5760</v>
          </cell>
          <cell r="AD49">
            <v>5760</v>
          </cell>
          <cell r="AE49">
            <v>5760</v>
          </cell>
          <cell r="AF49">
            <v>3720</v>
          </cell>
          <cell r="AG49">
            <v>0</v>
          </cell>
          <cell r="AH49">
            <v>5760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</row>
        <row r="50">
          <cell r="M50">
            <v>4173</v>
          </cell>
          <cell r="N50">
            <v>2916</v>
          </cell>
          <cell r="O50">
            <v>2430</v>
          </cell>
          <cell r="P50">
            <v>3175</v>
          </cell>
          <cell r="Q50">
            <v>3291</v>
          </cell>
          <cell r="R50">
            <v>3134</v>
          </cell>
          <cell r="S50">
            <v>0</v>
          </cell>
          <cell r="T50">
            <v>0</v>
          </cell>
          <cell r="U50">
            <v>2470</v>
          </cell>
          <cell r="V50">
            <v>4650</v>
          </cell>
          <cell r="W50">
            <v>4567</v>
          </cell>
          <cell r="X50">
            <v>2906</v>
          </cell>
          <cell r="Y50">
            <v>3062</v>
          </cell>
          <cell r="Z50">
            <v>0</v>
          </cell>
          <cell r="AA50">
            <v>3712</v>
          </cell>
          <cell r="AB50">
            <v>4105</v>
          </cell>
          <cell r="AC50">
            <v>4127</v>
          </cell>
          <cell r="AD50">
            <v>4798</v>
          </cell>
          <cell r="AE50">
            <v>3658</v>
          </cell>
          <cell r="AF50">
            <v>1797</v>
          </cell>
          <cell r="AG50">
            <v>0</v>
          </cell>
          <cell r="AH50">
            <v>4533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M51">
            <v>0.27552083333333333</v>
          </cell>
          <cell r="N51">
            <v>0.49375000000000002</v>
          </cell>
          <cell r="O51">
            <v>0.578125</v>
          </cell>
          <cell r="P51">
            <v>0.44878472222222221</v>
          </cell>
          <cell r="Q51">
            <v>0.42864583333333328</v>
          </cell>
          <cell r="R51">
            <v>0.15752688172043006</v>
          </cell>
          <cell r="S51">
            <v>0</v>
          </cell>
          <cell r="T51">
            <v>0</v>
          </cell>
          <cell r="U51">
            <v>0.35677083333333337</v>
          </cell>
          <cell r="V51">
            <v>0.19270833333333337</v>
          </cell>
          <cell r="W51">
            <v>0.20711805555555551</v>
          </cell>
          <cell r="X51">
            <v>0.49548611111111107</v>
          </cell>
          <cell r="Y51">
            <v>0.17688172043010753</v>
          </cell>
          <cell r="Z51">
            <v>0</v>
          </cell>
          <cell r="AA51">
            <v>0.35555555555555551</v>
          </cell>
          <cell r="AB51">
            <v>0.28732638888888884</v>
          </cell>
          <cell r="AC51">
            <v>0.28350694444444446</v>
          </cell>
          <cell r="AD51">
            <v>0.16701388888888891</v>
          </cell>
          <cell r="AE51">
            <v>0.36493055555555554</v>
          </cell>
          <cell r="AF51">
            <v>0.51693548387096766</v>
          </cell>
          <cell r="AG51">
            <v>0</v>
          </cell>
          <cell r="AH51">
            <v>0.21302083333333333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M52">
            <v>1637</v>
          </cell>
          <cell r="N52">
            <v>245</v>
          </cell>
          <cell r="O52">
            <v>228</v>
          </cell>
          <cell r="P52">
            <v>336</v>
          </cell>
          <cell r="Q52">
            <v>365</v>
          </cell>
          <cell r="R52">
            <v>213</v>
          </cell>
          <cell r="S52">
            <v>0</v>
          </cell>
          <cell r="T52">
            <v>0</v>
          </cell>
          <cell r="U52">
            <v>153</v>
          </cell>
          <cell r="V52">
            <v>297</v>
          </cell>
          <cell r="W52">
            <v>309</v>
          </cell>
          <cell r="X52">
            <v>296</v>
          </cell>
          <cell r="Y52">
            <v>93</v>
          </cell>
          <cell r="Z52">
            <v>0</v>
          </cell>
          <cell r="AA52">
            <v>219</v>
          </cell>
          <cell r="AB52">
            <v>258</v>
          </cell>
          <cell r="AC52">
            <v>288</v>
          </cell>
          <cell r="AD52">
            <v>245</v>
          </cell>
          <cell r="AE52">
            <v>275</v>
          </cell>
          <cell r="AF52">
            <v>147</v>
          </cell>
          <cell r="AG52">
            <v>0</v>
          </cell>
          <cell r="AH52">
            <v>349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</row>
        <row r="53">
          <cell r="M53">
            <v>0.39228372873232686</v>
          </cell>
          <cell r="N53">
            <v>8.4019204389574761E-2</v>
          </cell>
          <cell r="O53">
            <v>9.3827160493827166E-2</v>
          </cell>
          <cell r="P53">
            <v>0.1058267716535433</v>
          </cell>
          <cell r="Q53">
            <v>0.11090853843816469</v>
          </cell>
          <cell r="R53">
            <v>6.796426292278239E-2</v>
          </cell>
          <cell r="S53">
            <v>0</v>
          </cell>
          <cell r="T53">
            <v>0</v>
          </cell>
          <cell r="U53">
            <v>6.1943319838056683E-2</v>
          </cell>
          <cell r="V53">
            <v>6.3870967741935486E-2</v>
          </cell>
          <cell r="W53">
            <v>6.7659294941975034E-2</v>
          </cell>
          <cell r="X53">
            <v>0.1018582243633861</v>
          </cell>
          <cell r="Y53">
            <v>3.0372305682560417E-2</v>
          </cell>
          <cell r="Z53">
            <v>0</v>
          </cell>
          <cell r="AA53">
            <v>5.8997844827586209E-2</v>
          </cell>
          <cell r="AB53">
            <v>6.2850182704019486E-2</v>
          </cell>
          <cell r="AC53">
            <v>6.9784346983280829E-2</v>
          </cell>
          <cell r="AD53">
            <v>5.1062942892872033E-2</v>
          </cell>
          <cell r="AE53">
            <v>7.5177692728266812E-2</v>
          </cell>
          <cell r="AF53">
            <v>8.1803005008347252E-2</v>
          </cell>
          <cell r="AG53">
            <v>0</v>
          </cell>
          <cell r="AH53">
            <v>7.699095521729539E-2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</row>
        <row r="54">
          <cell r="M54">
            <v>25195</v>
          </cell>
          <cell r="N54">
            <v>-1505</v>
          </cell>
          <cell r="O54">
            <v>5.9734074221075607E-2</v>
          </cell>
          <cell r="P54">
            <v>23690</v>
          </cell>
          <cell r="Q54">
            <v>0.22524600246002457</v>
          </cell>
          <cell r="R54">
            <v>0</v>
          </cell>
          <cell r="S54">
            <v>0</v>
          </cell>
          <cell r="T54">
            <v>18743</v>
          </cell>
          <cell r="U54">
            <v>-1558</v>
          </cell>
          <cell r="V54">
            <v>8.312436643013392E-2</v>
          </cell>
          <cell r="W54">
            <v>17185</v>
          </cell>
          <cell r="X54">
            <v>0.34920138888888885</v>
          </cell>
          <cell r="Y54">
            <v>0</v>
          </cell>
          <cell r="Z54">
            <v>0</v>
          </cell>
          <cell r="AA54">
            <v>22819</v>
          </cell>
          <cell r="AB54">
            <v>-1849</v>
          </cell>
          <cell r="AC54">
            <v>8.1028967088829479E-2</v>
          </cell>
          <cell r="AD54">
            <v>20970</v>
          </cell>
          <cell r="AE54">
            <v>0.29830873308733086</v>
          </cell>
          <cell r="AF54">
            <v>0</v>
          </cell>
          <cell r="AG54">
            <v>0</v>
          </cell>
          <cell r="AH54">
            <v>4058</v>
          </cell>
          <cell r="AI54">
            <v>-353</v>
          </cell>
          <cell r="AJ54">
            <v>8.6988664366683094E-2</v>
          </cell>
          <cell r="AK54">
            <v>3705</v>
          </cell>
          <cell r="AL54">
            <v>0.29548611111111112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 t="e">
            <v>#DIV/0!</v>
          </cell>
          <cell r="AT54">
            <v>0</v>
          </cell>
          <cell r="AU54">
            <v>0</v>
          </cell>
        </row>
        <row r="55">
          <cell r="M55">
            <v>5760</v>
          </cell>
          <cell r="N55">
            <v>5760</v>
          </cell>
          <cell r="O55">
            <v>5760</v>
          </cell>
          <cell r="P55">
            <v>5760</v>
          </cell>
          <cell r="Q55">
            <v>5760</v>
          </cell>
          <cell r="R55">
            <v>3720</v>
          </cell>
          <cell r="S55">
            <v>0</v>
          </cell>
          <cell r="T55">
            <v>5760</v>
          </cell>
          <cell r="U55">
            <v>5760</v>
          </cell>
          <cell r="V55">
            <v>2040</v>
          </cell>
          <cell r="W55">
            <v>5760</v>
          </cell>
          <cell r="X55">
            <v>5760</v>
          </cell>
          <cell r="Y55">
            <v>3720</v>
          </cell>
          <cell r="Z55">
            <v>0</v>
          </cell>
          <cell r="AA55">
            <v>5760</v>
          </cell>
          <cell r="AB55">
            <v>5760</v>
          </cell>
          <cell r="AC55">
            <v>5760</v>
          </cell>
          <cell r="AD55">
            <v>5760</v>
          </cell>
          <cell r="AE55">
            <v>5760</v>
          </cell>
          <cell r="AF55">
            <v>3720</v>
          </cell>
          <cell r="AG55">
            <v>0</v>
          </cell>
          <cell r="AH55">
            <v>5760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M56">
            <v>4893</v>
          </cell>
          <cell r="N56">
            <v>4222</v>
          </cell>
          <cell r="O56">
            <v>4227</v>
          </cell>
          <cell r="P56">
            <v>4777</v>
          </cell>
          <cell r="Q56">
            <v>4307</v>
          </cell>
          <cell r="R56">
            <v>2769</v>
          </cell>
          <cell r="S56">
            <v>0</v>
          </cell>
          <cell r="T56">
            <v>3629</v>
          </cell>
          <cell r="U56">
            <v>4633</v>
          </cell>
          <cell r="V56">
            <v>718</v>
          </cell>
          <cell r="W56">
            <v>3437</v>
          </cell>
          <cell r="X56">
            <v>3884</v>
          </cell>
          <cell r="Y56">
            <v>2442</v>
          </cell>
          <cell r="Z56">
            <v>0</v>
          </cell>
          <cell r="AA56">
            <v>3654</v>
          </cell>
          <cell r="AB56">
            <v>3626</v>
          </cell>
          <cell r="AC56">
            <v>4009</v>
          </cell>
          <cell r="AD56">
            <v>4144</v>
          </cell>
          <cell r="AE56">
            <v>4365</v>
          </cell>
          <cell r="AF56">
            <v>3021</v>
          </cell>
          <cell r="AG56">
            <v>0</v>
          </cell>
          <cell r="AH56">
            <v>4058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</row>
        <row r="57">
          <cell r="M57">
            <v>0.15052083333333333</v>
          </cell>
          <cell r="N57">
            <v>0.26701388888888888</v>
          </cell>
          <cell r="O57">
            <v>0.2661458333333333</v>
          </cell>
          <cell r="P57">
            <v>0.17065972222222225</v>
          </cell>
          <cell r="Q57">
            <v>0.25225694444444446</v>
          </cell>
          <cell r="R57">
            <v>0.25564516129032255</v>
          </cell>
          <cell r="S57">
            <v>0</v>
          </cell>
          <cell r="T57">
            <v>0.36996527777777777</v>
          </cell>
          <cell r="U57">
            <v>0.19565972222222228</v>
          </cell>
          <cell r="V57">
            <v>0.64803921568627443</v>
          </cell>
          <cell r="W57">
            <v>0.40329861111111109</v>
          </cell>
          <cell r="X57">
            <v>0.3256944444444444</v>
          </cell>
          <cell r="Y57">
            <v>0.34354838709677415</v>
          </cell>
          <cell r="Z57">
            <v>0</v>
          </cell>
          <cell r="AA57">
            <v>0.36562499999999998</v>
          </cell>
          <cell r="AB57">
            <v>0.37048611111111107</v>
          </cell>
          <cell r="AC57">
            <v>0.30399305555555556</v>
          </cell>
          <cell r="AD57">
            <v>0.28055555555555556</v>
          </cell>
          <cell r="AE57">
            <v>0.2421875</v>
          </cell>
          <cell r="AF57">
            <v>0.18790322580645158</v>
          </cell>
          <cell r="AG57">
            <v>0</v>
          </cell>
          <cell r="AH57">
            <v>0.29548611111111112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</row>
        <row r="58">
          <cell r="M58">
            <v>225</v>
          </cell>
          <cell r="N58">
            <v>282</v>
          </cell>
          <cell r="O58">
            <v>246</v>
          </cell>
          <cell r="P58">
            <v>281</v>
          </cell>
          <cell r="Q58">
            <v>309</v>
          </cell>
          <cell r="R58">
            <v>162</v>
          </cell>
          <cell r="S58">
            <v>0</v>
          </cell>
          <cell r="T58">
            <v>303</v>
          </cell>
          <cell r="U58">
            <v>330</v>
          </cell>
          <cell r="V58">
            <v>161</v>
          </cell>
          <cell r="W58">
            <v>258</v>
          </cell>
          <cell r="X58">
            <v>369</v>
          </cell>
          <cell r="Y58">
            <v>137</v>
          </cell>
          <cell r="Z58">
            <v>0</v>
          </cell>
          <cell r="AA58">
            <v>304</v>
          </cell>
          <cell r="AB58">
            <v>403</v>
          </cell>
          <cell r="AC58">
            <v>389</v>
          </cell>
          <cell r="AD58">
            <v>294</v>
          </cell>
          <cell r="AE58">
            <v>253</v>
          </cell>
          <cell r="AF58">
            <v>206</v>
          </cell>
          <cell r="AG58">
            <v>0</v>
          </cell>
          <cell r="AH58">
            <v>353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</row>
        <row r="59">
          <cell r="M59">
            <v>4.5984058859595341E-2</v>
          </cell>
          <cell r="N59">
            <v>6.6792989104689726E-2</v>
          </cell>
          <cell r="O59">
            <v>5.8197303051809791E-2</v>
          </cell>
          <cell r="P59">
            <v>5.8823529411764705E-2</v>
          </cell>
          <cell r="Q59">
            <v>7.174367309031808E-2</v>
          </cell>
          <cell r="R59">
            <v>5.8504875406283859E-2</v>
          </cell>
          <cell r="S59">
            <v>0</v>
          </cell>
          <cell r="T59">
            <v>8.3494075502893353E-2</v>
          </cell>
          <cell r="U59">
            <v>7.1228145909777676E-2</v>
          </cell>
          <cell r="V59">
            <v>0.22423398328690808</v>
          </cell>
          <cell r="W59">
            <v>7.5065464067500726E-2</v>
          </cell>
          <cell r="X59">
            <v>9.5005149330587027E-2</v>
          </cell>
          <cell r="Y59">
            <v>5.6101556101556101E-2</v>
          </cell>
          <cell r="Z59">
            <v>0</v>
          </cell>
          <cell r="AA59">
            <v>8.3196496989600438E-2</v>
          </cell>
          <cell r="AB59">
            <v>0.11114175399889685</v>
          </cell>
          <cell r="AC59">
            <v>9.7031678722873535E-2</v>
          </cell>
          <cell r="AD59">
            <v>7.0945945945945943E-2</v>
          </cell>
          <cell r="AE59">
            <v>5.7961053837342499E-2</v>
          </cell>
          <cell r="AF59">
            <v>6.8189341277722609E-2</v>
          </cell>
          <cell r="AG59">
            <v>0</v>
          </cell>
          <cell r="AH59">
            <v>8.6988664366683094E-2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</row>
        <row r="60">
          <cell r="M60">
            <v>26721</v>
          </cell>
          <cell r="N60">
            <v>-1124</v>
          </cell>
          <cell r="O60">
            <v>4.2064294000973015E-2</v>
          </cell>
          <cell r="P60">
            <v>25597</v>
          </cell>
          <cell r="Q60">
            <v>0.1783210332103321</v>
          </cell>
          <cell r="R60">
            <v>0</v>
          </cell>
          <cell r="S60">
            <v>0</v>
          </cell>
          <cell r="T60">
            <v>27472</v>
          </cell>
          <cell r="U60">
            <v>-1136</v>
          </cell>
          <cell r="V60">
            <v>4.1351193942923706E-2</v>
          </cell>
          <cell r="W60">
            <v>26336</v>
          </cell>
          <cell r="X60">
            <v>0.15522755227552276</v>
          </cell>
          <cell r="Y60">
            <v>0</v>
          </cell>
          <cell r="Z60">
            <v>0</v>
          </cell>
          <cell r="AA60">
            <v>23685</v>
          </cell>
          <cell r="AB60">
            <v>-1007</v>
          </cell>
          <cell r="AC60">
            <v>4.2516360565758922E-2</v>
          </cell>
          <cell r="AD60">
            <v>22678</v>
          </cell>
          <cell r="AE60">
            <v>0.24952471482889738</v>
          </cell>
          <cell r="AF60">
            <v>0</v>
          </cell>
          <cell r="AG60">
            <v>0</v>
          </cell>
          <cell r="AH60">
            <v>3996</v>
          </cell>
          <cell r="AI60">
            <v>-163</v>
          </cell>
          <cell r="AJ60">
            <v>4.0790790790790787E-2</v>
          </cell>
          <cell r="AK60">
            <v>3833</v>
          </cell>
          <cell r="AL60">
            <v>0.30625000000000002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 t="e">
            <v>#DIV/0!</v>
          </cell>
          <cell r="AT60">
            <v>0</v>
          </cell>
          <cell r="AU60">
            <v>0</v>
          </cell>
        </row>
        <row r="61">
          <cell r="M61">
            <v>5760</v>
          </cell>
          <cell r="N61">
            <v>5760</v>
          </cell>
          <cell r="O61">
            <v>5760</v>
          </cell>
          <cell r="P61">
            <v>5760</v>
          </cell>
          <cell r="Q61">
            <v>5760</v>
          </cell>
          <cell r="R61">
            <v>3720</v>
          </cell>
          <cell r="S61">
            <v>0</v>
          </cell>
          <cell r="T61">
            <v>5760</v>
          </cell>
          <cell r="U61">
            <v>5760</v>
          </cell>
          <cell r="V61">
            <v>5760</v>
          </cell>
          <cell r="W61">
            <v>5760</v>
          </cell>
          <cell r="X61">
            <v>5760</v>
          </cell>
          <cell r="Y61">
            <v>3720</v>
          </cell>
          <cell r="Z61">
            <v>0</v>
          </cell>
          <cell r="AA61">
            <v>5760</v>
          </cell>
          <cell r="AB61">
            <v>5760</v>
          </cell>
          <cell r="AC61">
            <v>5760</v>
          </cell>
          <cell r="AD61">
            <v>5760</v>
          </cell>
          <cell r="AE61">
            <v>4800</v>
          </cell>
          <cell r="AF61">
            <v>3720</v>
          </cell>
          <cell r="AG61">
            <v>0</v>
          </cell>
          <cell r="AH61">
            <v>5760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M62">
            <v>4757</v>
          </cell>
          <cell r="N62">
            <v>4602</v>
          </cell>
          <cell r="O62">
            <v>4267</v>
          </cell>
          <cell r="P62">
            <v>4951</v>
          </cell>
          <cell r="Q62">
            <v>4872</v>
          </cell>
          <cell r="R62">
            <v>3272</v>
          </cell>
          <cell r="S62">
            <v>0</v>
          </cell>
          <cell r="T62">
            <v>4391</v>
          </cell>
          <cell r="U62">
            <v>4909</v>
          </cell>
          <cell r="V62">
            <v>5127</v>
          </cell>
          <cell r="W62">
            <v>5502</v>
          </cell>
          <cell r="X62">
            <v>4887</v>
          </cell>
          <cell r="Y62">
            <v>2656</v>
          </cell>
          <cell r="Z62">
            <v>0</v>
          </cell>
          <cell r="AA62">
            <v>4392</v>
          </cell>
          <cell r="AB62">
            <v>3861</v>
          </cell>
          <cell r="AC62">
            <v>3339</v>
          </cell>
          <cell r="AD62">
            <v>5053</v>
          </cell>
          <cell r="AE62">
            <v>4141</v>
          </cell>
          <cell r="AF62">
            <v>2899</v>
          </cell>
          <cell r="AG62">
            <v>0</v>
          </cell>
          <cell r="AH62">
            <v>3996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M63">
            <v>0.17413194444444446</v>
          </cell>
          <cell r="N63">
            <v>0.20104166666666667</v>
          </cell>
          <cell r="O63">
            <v>0.25920138888888888</v>
          </cell>
          <cell r="P63">
            <v>0.14045138888888886</v>
          </cell>
          <cell r="Q63">
            <v>0.15416666666666667</v>
          </cell>
          <cell r="R63">
            <v>0.12043010752688177</v>
          </cell>
          <cell r="S63">
            <v>0</v>
          </cell>
          <cell r="T63">
            <v>0.23767361111111107</v>
          </cell>
          <cell r="U63">
            <v>0.14774305555555556</v>
          </cell>
          <cell r="V63">
            <v>0.1098958333333333</v>
          </cell>
          <cell r="W63">
            <v>4.4791666666666674E-2</v>
          </cell>
          <cell r="X63">
            <v>0.15156250000000004</v>
          </cell>
          <cell r="Y63">
            <v>0.28602150537634408</v>
          </cell>
          <cell r="Z63">
            <v>0</v>
          </cell>
          <cell r="AA63">
            <v>0.23750000000000004</v>
          </cell>
          <cell r="AB63">
            <v>0.32968750000000002</v>
          </cell>
          <cell r="AC63">
            <v>0.42031249999999998</v>
          </cell>
          <cell r="AD63">
            <v>0.12274305555555554</v>
          </cell>
          <cell r="AE63">
            <v>0.1372916666666667</v>
          </cell>
          <cell r="AF63">
            <v>0.2206989247311828</v>
          </cell>
          <cell r="AG63">
            <v>0</v>
          </cell>
          <cell r="AH63">
            <v>0.30625000000000002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M64">
            <v>133</v>
          </cell>
          <cell r="N64">
            <v>218</v>
          </cell>
          <cell r="O64">
            <v>145</v>
          </cell>
          <cell r="P64">
            <v>216</v>
          </cell>
          <cell r="Q64">
            <v>278</v>
          </cell>
          <cell r="R64">
            <v>134</v>
          </cell>
          <cell r="S64">
            <v>0</v>
          </cell>
          <cell r="T64">
            <v>311</v>
          </cell>
          <cell r="U64">
            <v>228</v>
          </cell>
          <cell r="V64">
            <v>175</v>
          </cell>
          <cell r="W64">
            <v>103</v>
          </cell>
          <cell r="X64">
            <v>206</v>
          </cell>
          <cell r="Y64">
            <v>113</v>
          </cell>
          <cell r="Z64">
            <v>0</v>
          </cell>
          <cell r="AA64">
            <v>145</v>
          </cell>
          <cell r="AB64">
            <v>108</v>
          </cell>
          <cell r="AC64">
            <v>268</v>
          </cell>
          <cell r="AD64">
            <v>224</v>
          </cell>
          <cell r="AE64">
            <v>187</v>
          </cell>
          <cell r="AF64">
            <v>75</v>
          </cell>
          <cell r="AG64">
            <v>0</v>
          </cell>
          <cell r="AH64">
            <v>163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</row>
        <row r="65">
          <cell r="M65">
            <v>2.7958797561488332E-2</v>
          </cell>
          <cell r="N65">
            <v>4.7370708387657542E-2</v>
          </cell>
          <cell r="O65">
            <v>3.3981720178111088E-2</v>
          </cell>
          <cell r="P65">
            <v>4.3627549989901031E-2</v>
          </cell>
          <cell r="Q65">
            <v>5.7060755336617405E-2</v>
          </cell>
          <cell r="R65">
            <v>4.095354523227384E-2</v>
          </cell>
          <cell r="S65">
            <v>0</v>
          </cell>
          <cell r="T65">
            <v>7.0826690958779318E-2</v>
          </cell>
          <cell r="U65">
            <v>4.6445304542676716E-2</v>
          </cell>
          <cell r="V65">
            <v>3.4133021259996101E-2</v>
          </cell>
          <cell r="W65">
            <v>1.872046528535078E-2</v>
          </cell>
          <cell r="X65">
            <v>4.2152649887456518E-2</v>
          </cell>
          <cell r="Y65">
            <v>4.2545180722891568E-2</v>
          </cell>
          <cell r="Z65">
            <v>0</v>
          </cell>
          <cell r="AA65">
            <v>3.3014571948998178E-2</v>
          </cell>
          <cell r="AB65">
            <v>2.7972027972027972E-2</v>
          </cell>
          <cell r="AC65">
            <v>8.0263551961665167E-2</v>
          </cell>
          <cell r="AD65">
            <v>4.4330100930140511E-2</v>
          </cell>
          <cell r="AE65">
            <v>4.5158174354020766E-2</v>
          </cell>
          <cell r="AF65">
            <v>2.5870989996550534E-2</v>
          </cell>
          <cell r="AG65">
            <v>0</v>
          </cell>
          <cell r="AH65">
            <v>4.0790790790790787E-2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</row>
        <row r="66">
          <cell r="M66">
            <v>22762</v>
          </cell>
          <cell r="N66">
            <v>-1715</v>
          </cell>
          <cell r="O66">
            <v>7.5344873034004042E-2</v>
          </cell>
          <cell r="P66">
            <v>21047</v>
          </cell>
          <cell r="Q66">
            <v>0.30006150061500614</v>
          </cell>
          <cell r="R66">
            <v>0</v>
          </cell>
          <cell r="S66">
            <v>0</v>
          </cell>
          <cell r="T66">
            <v>17368</v>
          </cell>
          <cell r="U66">
            <v>-1355</v>
          </cell>
          <cell r="V66">
            <v>7.8017042837402115E-2</v>
          </cell>
          <cell r="W66">
            <v>16013</v>
          </cell>
          <cell r="X66">
            <v>0.35097159940209266</v>
          </cell>
          <cell r="Y66">
            <v>0</v>
          </cell>
          <cell r="Z66">
            <v>0</v>
          </cell>
          <cell r="AA66">
            <v>20704</v>
          </cell>
          <cell r="AB66">
            <v>-1557</v>
          </cell>
          <cell r="AC66">
            <v>7.5202859350850082E-2</v>
          </cell>
          <cell r="AD66">
            <v>19147</v>
          </cell>
          <cell r="AE66">
            <v>0.33384813384813383</v>
          </cell>
          <cell r="AF66">
            <v>0</v>
          </cell>
          <cell r="AG66">
            <v>0</v>
          </cell>
          <cell r="AH66">
            <v>3597</v>
          </cell>
          <cell r="AI66">
            <v>-432</v>
          </cell>
          <cell r="AJ66">
            <v>0.12010008340283569</v>
          </cell>
          <cell r="AK66">
            <v>3165</v>
          </cell>
          <cell r="AL66">
            <v>0.3755208333333333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 t="e">
            <v>#DIV/0!</v>
          </cell>
          <cell r="AT66">
            <v>0</v>
          </cell>
          <cell r="AU66">
            <v>0</v>
          </cell>
        </row>
        <row r="67">
          <cell r="M67">
            <v>5760</v>
          </cell>
          <cell r="N67">
            <v>5760</v>
          </cell>
          <cell r="O67">
            <v>5760</v>
          </cell>
          <cell r="P67">
            <v>5760</v>
          </cell>
          <cell r="Q67">
            <v>5760</v>
          </cell>
          <cell r="R67">
            <v>3720</v>
          </cell>
          <cell r="S67">
            <v>0</v>
          </cell>
          <cell r="T67">
            <v>5760</v>
          </cell>
          <cell r="U67">
            <v>5760</v>
          </cell>
          <cell r="V67">
            <v>5760</v>
          </cell>
          <cell r="W67">
            <v>5760</v>
          </cell>
          <cell r="X67">
            <v>0</v>
          </cell>
          <cell r="Y67">
            <v>3720</v>
          </cell>
          <cell r="Z67">
            <v>0</v>
          </cell>
          <cell r="AA67">
            <v>4320</v>
          </cell>
          <cell r="AB67">
            <v>5760</v>
          </cell>
          <cell r="AC67">
            <v>5760</v>
          </cell>
          <cell r="AD67">
            <v>5760</v>
          </cell>
          <cell r="AE67">
            <v>5760</v>
          </cell>
          <cell r="AF67">
            <v>3720</v>
          </cell>
          <cell r="AG67">
            <v>0</v>
          </cell>
          <cell r="AH67">
            <v>5760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M68">
            <v>3910</v>
          </cell>
          <cell r="N68">
            <v>4234</v>
          </cell>
          <cell r="O68">
            <v>4284</v>
          </cell>
          <cell r="P68">
            <v>3210</v>
          </cell>
          <cell r="Q68">
            <v>4872</v>
          </cell>
          <cell r="R68">
            <v>2252</v>
          </cell>
          <cell r="S68">
            <v>0</v>
          </cell>
          <cell r="T68">
            <v>3826</v>
          </cell>
          <cell r="U68">
            <v>3392</v>
          </cell>
          <cell r="V68">
            <v>4088</v>
          </cell>
          <cell r="W68">
            <v>4212</v>
          </cell>
          <cell r="X68">
            <v>0</v>
          </cell>
          <cell r="Y68">
            <v>1850</v>
          </cell>
          <cell r="Z68">
            <v>0</v>
          </cell>
          <cell r="AA68">
            <v>2252</v>
          </cell>
          <cell r="AB68">
            <v>4218</v>
          </cell>
          <cell r="AC68">
            <v>4008</v>
          </cell>
          <cell r="AD68">
            <v>3482</v>
          </cell>
          <cell r="AE68">
            <v>4130</v>
          </cell>
          <cell r="AF68">
            <v>2614</v>
          </cell>
          <cell r="AG68">
            <v>0</v>
          </cell>
          <cell r="AH68">
            <v>3597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M69">
            <v>0.32118055555555558</v>
          </cell>
          <cell r="N69">
            <v>0.26493055555555556</v>
          </cell>
          <cell r="O69">
            <v>0.25624999999999998</v>
          </cell>
          <cell r="P69">
            <v>0.44270833333333337</v>
          </cell>
          <cell r="Q69">
            <v>0.15416666666666667</v>
          </cell>
          <cell r="R69">
            <v>0.39462365591397852</v>
          </cell>
          <cell r="S69">
            <v>0</v>
          </cell>
          <cell r="T69">
            <v>0.33576388888888886</v>
          </cell>
          <cell r="U69">
            <v>0.41111111111111109</v>
          </cell>
          <cell r="V69">
            <v>0.29027777777777775</v>
          </cell>
          <cell r="W69">
            <v>0.26875000000000004</v>
          </cell>
          <cell r="X69">
            <v>0</v>
          </cell>
          <cell r="Y69">
            <v>0.50268817204301075</v>
          </cell>
          <cell r="Z69">
            <v>0</v>
          </cell>
          <cell r="AA69">
            <v>0.47870370370370374</v>
          </cell>
          <cell r="AB69">
            <v>0.26770833333333333</v>
          </cell>
          <cell r="AC69">
            <v>0.3041666666666667</v>
          </cell>
          <cell r="AD69">
            <v>0.39548611111111109</v>
          </cell>
          <cell r="AE69">
            <v>0.28298611111111116</v>
          </cell>
          <cell r="AF69">
            <v>0.29731182795698929</v>
          </cell>
          <cell r="AG69">
            <v>0</v>
          </cell>
          <cell r="AH69">
            <v>0.3755208333333333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M70">
            <v>349</v>
          </cell>
          <cell r="N70">
            <v>319</v>
          </cell>
          <cell r="O70">
            <v>297</v>
          </cell>
          <cell r="P70">
            <v>284</v>
          </cell>
          <cell r="Q70">
            <v>271</v>
          </cell>
          <cell r="R70">
            <v>195</v>
          </cell>
          <cell r="S70">
            <v>0</v>
          </cell>
          <cell r="T70">
            <v>231</v>
          </cell>
          <cell r="U70">
            <v>306</v>
          </cell>
          <cell r="V70">
            <v>357</v>
          </cell>
          <cell r="W70">
            <v>270</v>
          </cell>
          <cell r="X70">
            <v>0</v>
          </cell>
          <cell r="Y70">
            <v>191</v>
          </cell>
          <cell r="Z70">
            <v>0</v>
          </cell>
          <cell r="AA70">
            <v>214</v>
          </cell>
          <cell r="AB70">
            <v>349</v>
          </cell>
          <cell r="AC70">
            <v>260</v>
          </cell>
          <cell r="AD70">
            <v>244</v>
          </cell>
          <cell r="AE70">
            <v>240</v>
          </cell>
          <cell r="AF70">
            <v>250</v>
          </cell>
          <cell r="AG70">
            <v>0</v>
          </cell>
          <cell r="AH70">
            <v>432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</row>
        <row r="71">
          <cell r="M71">
            <v>8.9258312020460362E-2</v>
          </cell>
          <cell r="N71">
            <v>7.5342465753424653E-2</v>
          </cell>
          <cell r="O71">
            <v>6.9327731092436978E-2</v>
          </cell>
          <cell r="P71">
            <v>8.8473520249221185E-2</v>
          </cell>
          <cell r="Q71">
            <v>5.5623973727422005E-2</v>
          </cell>
          <cell r="R71">
            <v>8.6589698046181177E-2</v>
          </cell>
          <cell r="S71">
            <v>0</v>
          </cell>
          <cell r="T71">
            <v>6.0376372190277049E-2</v>
          </cell>
          <cell r="U71">
            <v>9.0212264150943397E-2</v>
          </cell>
          <cell r="V71">
            <v>8.7328767123287673E-2</v>
          </cell>
          <cell r="W71">
            <v>6.4102564102564097E-2</v>
          </cell>
          <cell r="X71">
            <v>0</v>
          </cell>
          <cell r="Y71">
            <v>0.10324324324324324</v>
          </cell>
          <cell r="Z71">
            <v>0</v>
          </cell>
          <cell r="AA71">
            <v>9.5026642984014212E-2</v>
          </cell>
          <cell r="AB71">
            <v>8.2740635372214322E-2</v>
          </cell>
          <cell r="AC71">
            <v>6.4870259481037917E-2</v>
          </cell>
          <cell r="AD71">
            <v>7.0074669730040201E-2</v>
          </cell>
          <cell r="AE71">
            <v>5.8111380145278453E-2</v>
          </cell>
          <cell r="AF71">
            <v>9.5638867635807187E-2</v>
          </cell>
          <cell r="AG71">
            <v>0</v>
          </cell>
          <cell r="AH71">
            <v>0.12010008340283569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</row>
        <row r="72"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 t="e">
            <v>#DIV/0!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 t="e">
            <v>#DIV/0!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 t="e">
            <v>#DIV/0!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 t="e">
            <v>#DIV/0!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 t="e">
            <v>#DIV/0!</v>
          </cell>
          <cell r="AT72">
            <v>0</v>
          </cell>
          <cell r="AU72">
            <v>0</v>
          </cell>
        </row>
        <row r="73"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</row>
        <row r="74"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</row>
        <row r="75"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</row>
        <row r="76"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</row>
        <row r="77"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</row>
        <row r="78"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#DIV/0!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 t="e">
            <v>#DIV/0!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 t="e">
            <v>#DIV/0!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 t="e">
            <v>#DIV/0!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 t="e">
            <v>#DIV/0!</v>
          </cell>
          <cell r="AT78">
            <v>0</v>
          </cell>
          <cell r="AU78">
            <v>0</v>
          </cell>
        </row>
        <row r="79"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</row>
        <row r="80"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</row>
        <row r="81"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</row>
        <row r="82"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</row>
        <row r="83"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</row>
        <row r="84">
          <cell r="M84">
            <v>93797</v>
          </cell>
          <cell r="N84">
            <v>-7368</v>
          </cell>
          <cell r="O84">
            <v>7.8552618953697875E-2</v>
          </cell>
          <cell r="P84">
            <v>86429</v>
          </cell>
          <cell r="Q84">
            <v>0.27892835178351782</v>
          </cell>
          <cell r="R84">
            <v>0</v>
          </cell>
          <cell r="S84">
            <v>0</v>
          </cell>
          <cell r="T84">
            <v>81238</v>
          </cell>
          <cell r="U84">
            <v>-5197</v>
          </cell>
          <cell r="V84">
            <v>6.3972525172948616E-2</v>
          </cell>
          <cell r="W84">
            <v>76041</v>
          </cell>
          <cell r="X84">
            <v>0.28057031526744602</v>
          </cell>
          <cell r="Y84">
            <v>0</v>
          </cell>
          <cell r="Z84">
            <v>0</v>
          </cell>
          <cell r="AA84">
            <v>89405</v>
          </cell>
          <cell r="AB84">
            <v>-5845</v>
          </cell>
          <cell r="AC84">
            <v>6.5376656786533191E-2</v>
          </cell>
          <cell r="AD84">
            <v>83560</v>
          </cell>
          <cell r="AE84">
            <v>0.29977286967418548</v>
          </cell>
          <cell r="AF84">
            <v>0</v>
          </cell>
          <cell r="AG84">
            <v>0</v>
          </cell>
          <cell r="AH84">
            <v>16184</v>
          </cell>
          <cell r="AI84">
            <v>-1297</v>
          </cell>
          <cell r="AJ84">
            <v>8.0140879881364313E-2</v>
          </cell>
          <cell r="AK84">
            <v>14887</v>
          </cell>
          <cell r="AL84">
            <v>0.29756944444444444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 t="e">
            <v>#DIV/0!</v>
          </cell>
          <cell r="AT84">
            <v>0</v>
          </cell>
          <cell r="AU84">
            <v>0</v>
          </cell>
        </row>
        <row r="85">
          <cell r="M85">
            <v>23040</v>
          </cell>
          <cell r="N85">
            <v>23040</v>
          </cell>
          <cell r="O85">
            <v>23040</v>
          </cell>
          <cell r="P85">
            <v>23040</v>
          </cell>
          <cell r="Q85">
            <v>23040</v>
          </cell>
          <cell r="R85">
            <v>14880</v>
          </cell>
          <cell r="S85">
            <v>0</v>
          </cell>
          <cell r="T85">
            <v>17280</v>
          </cell>
          <cell r="U85">
            <v>21120</v>
          </cell>
          <cell r="V85">
            <v>19320</v>
          </cell>
          <cell r="W85">
            <v>23040</v>
          </cell>
          <cell r="X85">
            <v>17280</v>
          </cell>
          <cell r="Y85">
            <v>14880</v>
          </cell>
          <cell r="Z85">
            <v>0</v>
          </cell>
          <cell r="AA85">
            <v>21600</v>
          </cell>
          <cell r="AB85">
            <v>23040</v>
          </cell>
          <cell r="AC85">
            <v>23040</v>
          </cell>
          <cell r="AD85">
            <v>23040</v>
          </cell>
          <cell r="AE85">
            <v>22080</v>
          </cell>
          <cell r="AF85">
            <v>14880</v>
          </cell>
          <cell r="AG85">
            <v>0</v>
          </cell>
          <cell r="AH85">
            <v>23040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M86">
            <v>17733</v>
          </cell>
          <cell r="N86">
            <v>15974</v>
          </cell>
          <cell r="O86">
            <v>15208</v>
          </cell>
          <cell r="P86">
            <v>16113</v>
          </cell>
          <cell r="Q86">
            <v>17342</v>
          </cell>
          <cell r="R86">
            <v>11427</v>
          </cell>
          <cell r="S86">
            <v>0</v>
          </cell>
          <cell r="T86">
            <v>11846</v>
          </cell>
          <cell r="U86">
            <v>15404</v>
          </cell>
          <cell r="V86">
            <v>14583</v>
          </cell>
          <cell r="W86">
            <v>17718</v>
          </cell>
          <cell r="X86">
            <v>11677</v>
          </cell>
          <cell r="Y86">
            <v>10010</v>
          </cell>
          <cell r="Z86">
            <v>0</v>
          </cell>
          <cell r="AA86">
            <v>14010</v>
          </cell>
          <cell r="AB86">
            <v>15810</v>
          </cell>
          <cell r="AC86">
            <v>15483</v>
          </cell>
          <cell r="AD86">
            <v>17477</v>
          </cell>
          <cell r="AE86">
            <v>16294</v>
          </cell>
          <cell r="AF86">
            <v>10331</v>
          </cell>
          <cell r="AG86">
            <v>0</v>
          </cell>
          <cell r="AH86">
            <v>16184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M87">
            <v>0.23033854166666667</v>
          </cell>
          <cell r="N87">
            <v>0.30668402777777781</v>
          </cell>
          <cell r="O87">
            <v>0.33993055555555551</v>
          </cell>
          <cell r="P87">
            <v>0.30065104166666667</v>
          </cell>
          <cell r="Q87">
            <v>0.24730902777777775</v>
          </cell>
          <cell r="R87">
            <v>0.23205645161290323</v>
          </cell>
          <cell r="S87">
            <v>0</v>
          </cell>
          <cell r="T87">
            <v>0.3144675925925926</v>
          </cell>
          <cell r="U87">
            <v>0.27064393939393938</v>
          </cell>
          <cell r="V87">
            <v>0.2451863354037267</v>
          </cell>
          <cell r="W87">
            <v>0.2309895833333333</v>
          </cell>
          <cell r="X87">
            <v>0.32424768518518521</v>
          </cell>
          <cell r="Y87">
            <v>0.32728494623655913</v>
          </cell>
          <cell r="Z87">
            <v>0</v>
          </cell>
          <cell r="AA87">
            <v>0.35138888888888886</v>
          </cell>
          <cell r="AB87">
            <v>0.31380208333333337</v>
          </cell>
          <cell r="AC87">
            <v>0.32799479166666667</v>
          </cell>
          <cell r="AD87">
            <v>0.24144965277777775</v>
          </cell>
          <cell r="AE87">
            <v>0.26204710144927534</v>
          </cell>
          <cell r="AF87">
            <v>0.30571236559139781</v>
          </cell>
          <cell r="AG87">
            <v>0</v>
          </cell>
          <cell r="AH87">
            <v>0.29756944444444444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</row>
        <row r="88">
          <cell r="M88">
            <v>2344</v>
          </cell>
          <cell r="N88">
            <v>1064</v>
          </cell>
          <cell r="O88">
            <v>916</v>
          </cell>
          <cell r="P88">
            <v>1117</v>
          </cell>
          <cell r="Q88">
            <v>1223</v>
          </cell>
          <cell r="R88">
            <v>704</v>
          </cell>
          <cell r="S88">
            <v>0</v>
          </cell>
          <cell r="T88">
            <v>845</v>
          </cell>
          <cell r="U88">
            <v>1017</v>
          </cell>
          <cell r="V88">
            <v>990</v>
          </cell>
          <cell r="W88">
            <v>940</v>
          </cell>
          <cell r="X88">
            <v>871</v>
          </cell>
          <cell r="Y88">
            <v>534</v>
          </cell>
          <cell r="Z88">
            <v>0</v>
          </cell>
          <cell r="AA88">
            <v>882</v>
          </cell>
          <cell r="AB88">
            <v>1118</v>
          </cell>
          <cell r="AC88">
            <v>1205</v>
          </cell>
          <cell r="AD88">
            <v>1007</v>
          </cell>
          <cell r="AE88">
            <v>955</v>
          </cell>
          <cell r="AF88">
            <v>678</v>
          </cell>
          <cell r="AG88">
            <v>0</v>
          </cell>
          <cell r="AH88">
            <v>1297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</row>
        <row r="89">
          <cell r="M89">
            <v>0.13218293576946935</v>
          </cell>
          <cell r="N89">
            <v>6.660823838737949E-2</v>
          </cell>
          <cell r="O89">
            <v>6.0231457127827459E-2</v>
          </cell>
          <cell r="P89">
            <v>6.9322906969527712E-2</v>
          </cell>
          <cell r="Q89">
            <v>7.0522431092146232E-2</v>
          </cell>
          <cell r="R89">
            <v>6.1608471164785156E-2</v>
          </cell>
          <cell r="S89">
            <v>0</v>
          </cell>
          <cell r="T89">
            <v>7.1332095222015876E-2</v>
          </cell>
          <cell r="U89">
            <v>6.6021812516229544E-2</v>
          </cell>
          <cell r="V89">
            <v>6.7887265994651308E-2</v>
          </cell>
          <cell r="W89">
            <v>5.3053392030703236E-2</v>
          </cell>
          <cell r="X89">
            <v>7.4591076475122031E-2</v>
          </cell>
          <cell r="Y89">
            <v>5.3346653346653346E-2</v>
          </cell>
          <cell r="Z89">
            <v>0</v>
          </cell>
          <cell r="AA89">
            <v>6.295503211991435E-2</v>
          </cell>
          <cell r="AB89">
            <v>7.0714737507906383E-2</v>
          </cell>
          <cell r="AC89">
            <v>7.7827294451979584E-2</v>
          </cell>
          <cell r="AD89">
            <v>5.7618584425244604E-2</v>
          </cell>
          <cell r="AE89">
            <v>5.8610531483981834E-2</v>
          </cell>
          <cell r="AF89">
            <v>6.5627722388926529E-2</v>
          </cell>
          <cell r="AG89">
            <v>0</v>
          </cell>
          <cell r="AH89">
            <v>8.0140879881364313E-2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</row>
        <row r="91">
          <cell r="M91">
            <v>10980</v>
          </cell>
          <cell r="N91">
            <v>-180</v>
          </cell>
          <cell r="O91">
            <v>1.6393442622950821E-2</v>
          </cell>
          <cell r="P91">
            <v>10800</v>
          </cell>
          <cell r="Q91">
            <v>0</v>
          </cell>
          <cell r="R91">
            <v>0</v>
          </cell>
          <cell r="S91">
            <v>0</v>
          </cell>
          <cell r="T91">
            <v>19699</v>
          </cell>
          <cell r="U91">
            <v>-466</v>
          </cell>
          <cell r="V91">
            <v>2.3656023148383165E-2</v>
          </cell>
          <cell r="W91">
            <v>19233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-141</v>
          </cell>
          <cell r="AC91">
            <v>0</v>
          </cell>
          <cell r="AD91">
            <v>-141</v>
          </cell>
          <cell r="AE91" t="e">
            <v>#DIV/0!</v>
          </cell>
          <cell r="AF91">
            <v>0</v>
          </cell>
          <cell r="AG91">
            <v>0</v>
          </cell>
          <cell r="AH91">
            <v>0</v>
          </cell>
          <cell r="AI91">
            <v>-25</v>
          </cell>
          <cell r="AJ91">
            <v>0</v>
          </cell>
          <cell r="AK91">
            <v>-25</v>
          </cell>
          <cell r="AL91" t="e">
            <v>#DIV/0!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 t="e">
            <v>#DIV/0!</v>
          </cell>
          <cell r="AT91">
            <v>0</v>
          </cell>
          <cell r="AU91">
            <v>0</v>
          </cell>
        </row>
        <row r="93">
          <cell r="M93">
            <v>0</v>
          </cell>
          <cell r="N93">
            <v>5489</v>
          </cell>
          <cell r="O93">
            <v>1104</v>
          </cell>
          <cell r="P93">
            <v>0</v>
          </cell>
          <cell r="Q93">
            <v>1119</v>
          </cell>
          <cell r="R93">
            <v>3268</v>
          </cell>
          <cell r="S93">
            <v>0</v>
          </cell>
          <cell r="T93">
            <v>5457</v>
          </cell>
          <cell r="U93">
            <v>5476</v>
          </cell>
          <cell r="V93">
            <v>6562</v>
          </cell>
          <cell r="W93">
            <v>2204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</row>
        <row r="94"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M95">
            <v>0</v>
          </cell>
          <cell r="N95">
            <v>89</v>
          </cell>
          <cell r="O95">
            <v>24</v>
          </cell>
          <cell r="P95">
            <v>39</v>
          </cell>
          <cell r="Q95">
            <v>28</v>
          </cell>
          <cell r="R95">
            <v>0</v>
          </cell>
          <cell r="S95">
            <v>0</v>
          </cell>
          <cell r="T95">
            <v>83</v>
          </cell>
          <cell r="U95">
            <v>120</v>
          </cell>
          <cell r="V95">
            <v>128</v>
          </cell>
          <cell r="W95">
            <v>135</v>
          </cell>
          <cell r="X95">
            <v>0</v>
          </cell>
          <cell r="Y95">
            <v>0</v>
          </cell>
          <cell r="Z95">
            <v>0</v>
          </cell>
          <cell r="AA95">
            <v>84</v>
          </cell>
          <cell r="AB95">
            <v>42</v>
          </cell>
          <cell r="AC95">
            <v>11</v>
          </cell>
          <cell r="AD95">
            <v>0</v>
          </cell>
          <cell r="AE95">
            <v>4</v>
          </cell>
          <cell r="AF95">
            <v>0</v>
          </cell>
          <cell r="AG95">
            <v>0</v>
          </cell>
          <cell r="AH95">
            <v>25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M96">
            <v>0</v>
          </cell>
          <cell r="N96">
            <v>1.621424667516852E-2</v>
          </cell>
          <cell r="O96">
            <v>2.1739130434782608E-2</v>
          </cell>
          <cell r="P96">
            <v>0</v>
          </cell>
          <cell r="Q96">
            <v>2.5022341376228777E-2</v>
          </cell>
          <cell r="R96">
            <v>0</v>
          </cell>
          <cell r="S96">
            <v>0</v>
          </cell>
          <cell r="T96">
            <v>1.5209822246655671E-2</v>
          </cell>
          <cell r="U96">
            <v>2.1913805697589481E-2</v>
          </cell>
          <cell r="V96">
            <v>1.9506248095092958E-2</v>
          </cell>
          <cell r="W96">
            <v>6.1252268602540835E-2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7">
          <cell r="M97">
            <v>54779</v>
          </cell>
          <cell r="N97">
            <v>-779</v>
          </cell>
          <cell r="O97">
            <v>1.4220778035378521E-2</v>
          </cell>
          <cell r="P97">
            <v>54000</v>
          </cell>
          <cell r="Q97">
            <v>0</v>
          </cell>
          <cell r="R97">
            <v>0</v>
          </cell>
          <cell r="S97">
            <v>0</v>
          </cell>
          <cell r="T97">
            <v>51301</v>
          </cell>
          <cell r="U97">
            <v>-1317</v>
          </cell>
          <cell r="V97">
            <v>2.5672014190756515E-2</v>
          </cell>
          <cell r="W97">
            <v>49984</v>
          </cell>
          <cell r="X97">
            <v>0</v>
          </cell>
          <cell r="Y97">
            <v>0</v>
          </cell>
          <cell r="Z97">
            <v>0</v>
          </cell>
          <cell r="AA97">
            <v>8787</v>
          </cell>
          <cell r="AB97">
            <v>-787</v>
          </cell>
          <cell r="AC97">
            <v>8.9564128826675776E-2</v>
          </cell>
          <cell r="AD97">
            <v>8000</v>
          </cell>
          <cell r="AE97">
            <v>0</v>
          </cell>
          <cell r="AF97">
            <v>0</v>
          </cell>
          <cell r="AG97">
            <v>0</v>
          </cell>
          <cell r="AH97">
            <v>14223</v>
          </cell>
          <cell r="AI97">
            <v>-336</v>
          </cell>
          <cell r="AJ97">
            <v>2.3623708078464457E-2</v>
          </cell>
          <cell r="AK97">
            <v>13887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 t="e">
            <v>#DIV/0!</v>
          </cell>
          <cell r="AT97">
            <v>0</v>
          </cell>
          <cell r="AU97">
            <v>0</v>
          </cell>
        </row>
        <row r="99">
          <cell r="M99">
            <v>17534</v>
          </cell>
          <cell r="N99">
            <v>6543</v>
          </cell>
          <cell r="O99">
            <v>14205</v>
          </cell>
          <cell r="P99">
            <v>5467</v>
          </cell>
          <cell r="Q99">
            <v>8834</v>
          </cell>
          <cell r="R99">
            <v>2196</v>
          </cell>
          <cell r="S99">
            <v>0</v>
          </cell>
          <cell r="T99">
            <v>6549</v>
          </cell>
          <cell r="U99">
            <v>5473</v>
          </cell>
          <cell r="V99">
            <v>5470</v>
          </cell>
          <cell r="W99">
            <v>9831</v>
          </cell>
          <cell r="X99">
            <v>14175</v>
          </cell>
          <cell r="Y99">
            <v>9803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8787</v>
          </cell>
          <cell r="AG99">
            <v>0</v>
          </cell>
          <cell r="AH99">
            <v>14223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</row>
        <row r="101">
          <cell r="M101">
            <v>254</v>
          </cell>
          <cell r="N101">
            <v>66</v>
          </cell>
          <cell r="O101">
            <v>163</v>
          </cell>
          <cell r="P101">
            <v>67</v>
          </cell>
          <cell r="Q101">
            <v>195</v>
          </cell>
          <cell r="R101">
            <v>34</v>
          </cell>
          <cell r="S101">
            <v>0</v>
          </cell>
          <cell r="T101">
            <v>259</v>
          </cell>
          <cell r="U101">
            <v>281</v>
          </cell>
          <cell r="V101">
            <v>205</v>
          </cell>
          <cell r="W101">
            <v>230</v>
          </cell>
          <cell r="X101">
            <v>233</v>
          </cell>
          <cell r="Y101">
            <v>109</v>
          </cell>
          <cell r="Z101">
            <v>0</v>
          </cell>
          <cell r="AA101">
            <v>81</v>
          </cell>
          <cell r="AB101">
            <v>107</v>
          </cell>
          <cell r="AC101">
            <v>110</v>
          </cell>
          <cell r="AD101">
            <v>74</v>
          </cell>
          <cell r="AE101">
            <v>158</v>
          </cell>
          <cell r="AF101">
            <v>221</v>
          </cell>
          <cell r="AG101">
            <v>36</v>
          </cell>
          <cell r="AH101">
            <v>336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M102">
            <v>1.4486141211360784E-2</v>
          </cell>
          <cell r="N102">
            <v>1.0087116001834021E-2</v>
          </cell>
          <cell r="O102">
            <v>1.1474832805350228E-2</v>
          </cell>
          <cell r="P102">
            <v>1.2255350283519298E-2</v>
          </cell>
          <cell r="Q102">
            <v>2.2073805750509396E-2</v>
          </cell>
          <cell r="R102">
            <v>1.5482695810564663E-2</v>
          </cell>
          <cell r="S102">
            <v>0</v>
          </cell>
          <cell r="T102">
            <v>3.954802259887006E-2</v>
          </cell>
          <cell r="U102">
            <v>5.1342956331079846E-2</v>
          </cell>
          <cell r="V102">
            <v>3.7477148080438755E-2</v>
          </cell>
          <cell r="W102">
            <v>2.3395381955040179E-2</v>
          </cell>
          <cell r="X102">
            <v>1.6437389770723104E-2</v>
          </cell>
          <cell r="Y102">
            <v>1.1119045190247883E-2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2.5150790941163081E-2</v>
          </cell>
          <cell r="AG102">
            <v>0</v>
          </cell>
          <cell r="AH102">
            <v>2.3623708078464457E-2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M103">
            <v>65759</v>
          </cell>
          <cell r="N103">
            <v>-959</v>
          </cell>
          <cell r="O103">
            <v>1.4583555102723581E-2</v>
          </cell>
          <cell r="P103">
            <v>64800</v>
          </cell>
          <cell r="Q103">
            <v>0.51496219804536236</v>
          </cell>
          <cell r="R103">
            <v>0</v>
          </cell>
          <cell r="S103">
            <v>0</v>
          </cell>
          <cell r="T103">
            <v>71000</v>
          </cell>
          <cell r="U103">
            <v>-1783</v>
          </cell>
          <cell r="V103">
            <v>2.5112676056338028E-2</v>
          </cell>
          <cell r="W103">
            <v>69217</v>
          </cell>
          <cell r="X103">
            <v>0.50822510822510825</v>
          </cell>
          <cell r="Y103">
            <v>0</v>
          </cell>
          <cell r="Z103">
            <v>0</v>
          </cell>
          <cell r="AA103">
            <v>8787</v>
          </cell>
          <cell r="AB103">
            <v>-928</v>
          </cell>
          <cell r="AC103">
            <v>0.10561056105610561</v>
          </cell>
          <cell r="AD103">
            <v>7859</v>
          </cell>
          <cell r="AE103">
            <v>0.36094545454545457</v>
          </cell>
          <cell r="AF103">
            <v>0</v>
          </cell>
          <cell r="AG103">
            <v>0</v>
          </cell>
          <cell r="AH103">
            <v>14223</v>
          </cell>
          <cell r="AI103">
            <v>-361</v>
          </cell>
          <cell r="AJ103">
            <v>2.5381424453350208E-2</v>
          </cell>
          <cell r="AK103">
            <v>13862</v>
          </cell>
          <cell r="AL103">
            <v>0.43164835164835169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 t="e">
            <v>#DIV/0!</v>
          </cell>
          <cell r="AT103">
            <v>0</v>
          </cell>
          <cell r="AU103">
            <v>0</v>
          </cell>
        </row>
        <row r="104">
          <cell r="M104">
            <v>25025</v>
          </cell>
          <cell r="N104">
            <v>26400</v>
          </cell>
          <cell r="O104">
            <v>26400</v>
          </cell>
          <cell r="P104">
            <v>17600</v>
          </cell>
          <cell r="Q104">
            <v>26400</v>
          </cell>
          <cell r="R104">
            <v>13750</v>
          </cell>
          <cell r="S104">
            <v>0</v>
          </cell>
          <cell r="T104">
            <v>25025</v>
          </cell>
          <cell r="U104">
            <v>26400</v>
          </cell>
          <cell r="V104">
            <v>26400</v>
          </cell>
          <cell r="W104">
            <v>26400</v>
          </cell>
          <cell r="X104">
            <v>26400</v>
          </cell>
          <cell r="Y104">
            <v>13750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13750</v>
          </cell>
          <cell r="AG104">
            <v>0</v>
          </cell>
          <cell r="AH104">
            <v>25025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</row>
        <row r="105">
          <cell r="M105">
            <v>17534</v>
          </cell>
          <cell r="N105">
            <v>12032</v>
          </cell>
          <cell r="O105">
            <v>15309</v>
          </cell>
          <cell r="P105">
            <v>5467</v>
          </cell>
          <cell r="Q105">
            <v>9953</v>
          </cell>
          <cell r="R105">
            <v>5464</v>
          </cell>
          <cell r="S105">
            <v>0</v>
          </cell>
          <cell r="T105">
            <v>12006</v>
          </cell>
          <cell r="U105">
            <v>10949</v>
          </cell>
          <cell r="V105">
            <v>12032</v>
          </cell>
          <cell r="W105">
            <v>12035</v>
          </cell>
          <cell r="X105">
            <v>14175</v>
          </cell>
          <cell r="Y105">
            <v>9803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8787</v>
          </cell>
          <cell r="AG105">
            <v>0</v>
          </cell>
          <cell r="AH105">
            <v>14223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</row>
        <row r="106">
          <cell r="M106">
            <v>0.29934065934065934</v>
          </cell>
          <cell r="N106">
            <v>0.54424242424242419</v>
          </cell>
          <cell r="O106">
            <v>0.42011363636363641</v>
          </cell>
          <cell r="P106">
            <v>0.68937500000000007</v>
          </cell>
          <cell r="Q106">
            <v>0.62299242424242429</v>
          </cell>
          <cell r="R106">
            <v>0.60261818181818183</v>
          </cell>
          <cell r="S106">
            <v>0</v>
          </cell>
          <cell r="T106">
            <v>0.52023976023976026</v>
          </cell>
          <cell r="U106">
            <v>0.58526515151515146</v>
          </cell>
          <cell r="V106">
            <v>0.54424242424242419</v>
          </cell>
          <cell r="W106">
            <v>0.54412878787878793</v>
          </cell>
          <cell r="X106">
            <v>0.46306818181818177</v>
          </cell>
          <cell r="Y106">
            <v>0.28705454545454545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0.36094545454545457</v>
          </cell>
          <cell r="AG106">
            <v>0</v>
          </cell>
          <cell r="AH106">
            <v>0.43164835164835169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</row>
        <row r="107">
          <cell r="M107">
            <v>254</v>
          </cell>
          <cell r="N107">
            <v>155</v>
          </cell>
          <cell r="O107">
            <v>187</v>
          </cell>
          <cell r="P107">
            <v>106</v>
          </cell>
          <cell r="Q107">
            <v>223</v>
          </cell>
          <cell r="R107">
            <v>34</v>
          </cell>
          <cell r="S107">
            <v>0</v>
          </cell>
          <cell r="T107">
            <v>342</v>
          </cell>
          <cell r="U107">
            <v>401</v>
          </cell>
          <cell r="V107">
            <v>333</v>
          </cell>
          <cell r="W107">
            <v>365</v>
          </cell>
          <cell r="X107">
            <v>233</v>
          </cell>
          <cell r="Y107">
            <v>109</v>
          </cell>
          <cell r="Z107">
            <v>0</v>
          </cell>
          <cell r="AA107">
            <v>165</v>
          </cell>
          <cell r="AB107">
            <v>149</v>
          </cell>
          <cell r="AC107">
            <v>121</v>
          </cell>
          <cell r="AD107">
            <v>74</v>
          </cell>
          <cell r="AE107">
            <v>162</v>
          </cell>
          <cell r="AF107">
            <v>221</v>
          </cell>
          <cell r="AG107">
            <v>36</v>
          </cell>
          <cell r="AH107">
            <v>361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</row>
        <row r="108">
          <cell r="M108">
            <v>1.4486141211360784E-2</v>
          </cell>
          <cell r="N108">
            <v>1.2882313829787235E-2</v>
          </cell>
          <cell r="O108">
            <v>1.2215036906394932E-2</v>
          </cell>
          <cell r="P108">
            <v>1.9389061642582771E-2</v>
          </cell>
          <cell r="Q108">
            <v>2.2405304933185974E-2</v>
          </cell>
          <cell r="R108">
            <v>6.2225475841874087E-3</v>
          </cell>
          <cell r="S108">
            <v>0</v>
          </cell>
          <cell r="T108">
            <v>2.8485757121439279E-2</v>
          </cell>
          <cell r="U108">
            <v>3.6624349255639788E-2</v>
          </cell>
          <cell r="V108">
            <v>2.7676196808510637E-2</v>
          </cell>
          <cell r="W108">
            <v>3.0328209389281262E-2</v>
          </cell>
          <cell r="X108">
            <v>1.6437389770723104E-2</v>
          </cell>
          <cell r="Y108">
            <v>1.1119045190247883E-2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2.5150790941163081E-2</v>
          </cell>
          <cell r="AG108">
            <v>0</v>
          </cell>
          <cell r="AH108">
            <v>2.5381424453350208E-2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</row>
        <row r="110"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 t="e">
            <v>#DIV/0!</v>
          </cell>
          <cell r="R110">
            <v>0</v>
          </cell>
          <cell r="S110">
            <v>0</v>
          </cell>
          <cell r="T110">
            <v>39651</v>
          </cell>
          <cell r="U110">
            <v>-146</v>
          </cell>
          <cell r="V110">
            <v>3.6821265541852667E-3</v>
          </cell>
          <cell r="W110">
            <v>39505</v>
          </cell>
          <cell r="X110">
            <v>0.32700839895013134</v>
          </cell>
          <cell r="Y110">
            <v>0</v>
          </cell>
          <cell r="Z110">
            <v>0</v>
          </cell>
          <cell r="AA110">
            <v>49555</v>
          </cell>
          <cell r="AB110">
            <v>-149</v>
          </cell>
          <cell r="AC110">
            <v>3.006760165472707E-3</v>
          </cell>
          <cell r="AD110">
            <v>49406</v>
          </cell>
          <cell r="AE110">
            <v>0.25039610136452251</v>
          </cell>
          <cell r="AF110">
            <v>0</v>
          </cell>
          <cell r="AG110">
            <v>0</v>
          </cell>
          <cell r="AH110">
            <v>7744</v>
          </cell>
          <cell r="AI110">
            <v>-30</v>
          </cell>
          <cell r="AJ110">
            <v>3.8739669421487604E-3</v>
          </cell>
          <cell r="AK110">
            <v>7714</v>
          </cell>
          <cell r="AL110">
            <v>0.25810567901234571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 t="e">
            <v>#DIV/0!</v>
          </cell>
          <cell r="AT110">
            <v>0</v>
          </cell>
          <cell r="AU110">
            <v>0</v>
          </cell>
        </row>
        <row r="111"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10438.144329896908</v>
          </cell>
          <cell r="U111">
            <v>10438.144329896908</v>
          </cell>
          <cell r="V111">
            <v>10438.144329896908</v>
          </cell>
          <cell r="W111">
            <v>10438.144329896908</v>
          </cell>
          <cell r="X111">
            <v>10438.144329896908</v>
          </cell>
          <cell r="Y111">
            <v>6726.8041237113412</v>
          </cell>
          <cell r="Z111">
            <v>0</v>
          </cell>
          <cell r="AA111">
            <v>10438.144329896908</v>
          </cell>
          <cell r="AB111">
            <v>10438.144329896908</v>
          </cell>
          <cell r="AC111">
            <v>10438.144329896908</v>
          </cell>
          <cell r="AD111">
            <v>10438.144329896908</v>
          </cell>
          <cell r="AE111">
            <v>10438.144329896908</v>
          </cell>
          <cell r="AF111">
            <v>10438.144329896908</v>
          </cell>
          <cell r="AG111">
            <v>3479.3814432989693</v>
          </cell>
          <cell r="AH111">
            <v>10438.144329896908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2"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6304</v>
          </cell>
          <cell r="U112">
            <v>6912</v>
          </cell>
          <cell r="V112">
            <v>7679</v>
          </cell>
          <cell r="W112">
            <v>7012</v>
          </cell>
          <cell r="X112">
            <v>7392</v>
          </cell>
          <cell r="Y112">
            <v>4352</v>
          </cell>
          <cell r="Z112">
            <v>0</v>
          </cell>
          <cell r="AA112">
            <v>7556</v>
          </cell>
          <cell r="AB112">
            <v>7577</v>
          </cell>
          <cell r="AC112">
            <v>7424</v>
          </cell>
          <cell r="AD112">
            <v>6976</v>
          </cell>
          <cell r="AE112">
            <v>8398</v>
          </cell>
          <cell r="AF112">
            <v>8808</v>
          </cell>
          <cell r="AG112">
            <v>2816</v>
          </cell>
          <cell r="AH112">
            <v>7744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</row>
        <row r="113"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0.39606123456790132</v>
          </cell>
          <cell r="U113">
            <v>0.33781333333333341</v>
          </cell>
          <cell r="V113">
            <v>0.26433283950617292</v>
          </cell>
          <cell r="W113">
            <v>0.32823308641975313</v>
          </cell>
          <cell r="X113">
            <v>0.29182814814814817</v>
          </cell>
          <cell r="Y113">
            <v>0.35303601532567064</v>
          </cell>
          <cell r="Z113">
            <v>0</v>
          </cell>
          <cell r="AA113">
            <v>0.27611654320987655</v>
          </cell>
          <cell r="AB113">
            <v>0.27410469135802473</v>
          </cell>
          <cell r="AC113">
            <v>0.2887624691358025</v>
          </cell>
          <cell r="AD113">
            <v>0.33168197530864207</v>
          </cell>
          <cell r="AE113">
            <v>0.19545086419753088</v>
          </cell>
          <cell r="AF113">
            <v>0.15617185185185189</v>
          </cell>
          <cell r="AG113">
            <v>0.1906607407407408</v>
          </cell>
          <cell r="AH113">
            <v>0.25810567901234571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</row>
        <row r="114"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35</v>
          </cell>
          <cell r="U114">
            <v>10</v>
          </cell>
          <cell r="V114">
            <v>38</v>
          </cell>
          <cell r="W114">
            <v>22</v>
          </cell>
          <cell r="X114">
            <v>37</v>
          </cell>
          <cell r="Y114">
            <v>4</v>
          </cell>
          <cell r="Z114">
            <v>0</v>
          </cell>
          <cell r="AA114">
            <v>28</v>
          </cell>
          <cell r="AB114">
            <v>28</v>
          </cell>
          <cell r="AC114">
            <v>21</v>
          </cell>
          <cell r="AD114">
            <v>14</v>
          </cell>
          <cell r="AE114">
            <v>15</v>
          </cell>
          <cell r="AF114">
            <v>30</v>
          </cell>
          <cell r="AG114">
            <v>13</v>
          </cell>
          <cell r="AH114">
            <v>30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</row>
        <row r="115"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5.5213756112951571E-3</v>
          </cell>
          <cell r="U115">
            <v>1.444669170759896E-3</v>
          </cell>
          <cell r="V115">
            <v>4.9241933393805882E-3</v>
          </cell>
          <cell r="W115">
            <v>3.1276656241114587E-3</v>
          </cell>
          <cell r="X115">
            <v>4.9804818952752725E-3</v>
          </cell>
          <cell r="Y115">
            <v>9.1827364554637281E-4</v>
          </cell>
          <cell r="Z115">
            <v>0</v>
          </cell>
          <cell r="AA115">
            <v>3.6919831223628692E-3</v>
          </cell>
          <cell r="AB115">
            <v>3.6817882971729127E-3</v>
          </cell>
          <cell r="AC115">
            <v>2.8206850235057085E-3</v>
          </cell>
          <cell r="AD115">
            <v>2.0028612303290413E-3</v>
          </cell>
          <cell r="AE115">
            <v>1.7829549506715797E-3</v>
          </cell>
          <cell r="AF115">
            <v>3.3944331296673455E-3</v>
          </cell>
          <cell r="AG115">
            <v>4.5952633439377876E-3</v>
          </cell>
          <cell r="AH115">
            <v>3.8590172369436584E-3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 t="e">
            <v>#DIV/0!</v>
          </cell>
          <cell r="R116">
            <v>0</v>
          </cell>
          <cell r="S116">
            <v>0</v>
          </cell>
          <cell r="T116">
            <v>23868</v>
          </cell>
          <cell r="U116">
            <v>-55</v>
          </cell>
          <cell r="V116">
            <v>2.3043405396346575E-3</v>
          </cell>
          <cell r="W116">
            <v>23813</v>
          </cell>
          <cell r="X116">
            <v>0.27908275862068954</v>
          </cell>
          <cell r="Y116">
            <v>0</v>
          </cell>
          <cell r="Z116">
            <v>0</v>
          </cell>
          <cell r="AA116">
            <v>19438</v>
          </cell>
          <cell r="AB116">
            <v>-64</v>
          </cell>
          <cell r="AC116">
            <v>3.2925198065644613E-3</v>
          </cell>
          <cell r="AD116">
            <v>19374</v>
          </cell>
          <cell r="AE116">
            <v>0.3654814354727397</v>
          </cell>
          <cell r="AF116">
            <v>0</v>
          </cell>
          <cell r="AG116">
            <v>0</v>
          </cell>
          <cell r="AH116">
            <v>3168</v>
          </cell>
          <cell r="AI116">
            <v>-9</v>
          </cell>
          <cell r="AJ116">
            <v>2.840909090909091E-3</v>
          </cell>
          <cell r="AK116">
            <v>3159</v>
          </cell>
          <cell r="AL116">
            <v>0.42587586206896544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 t="e">
            <v>#DIV/0!</v>
          </cell>
          <cell r="AT116">
            <v>0</v>
          </cell>
          <cell r="AU116">
            <v>0</v>
          </cell>
        </row>
        <row r="117"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5517.9704016913311</v>
          </cell>
          <cell r="U117">
            <v>5517.9704016913311</v>
          </cell>
          <cell r="V117">
            <v>5517.9704016913311</v>
          </cell>
          <cell r="W117">
            <v>5517.9704016913311</v>
          </cell>
          <cell r="X117">
            <v>5517.9704016913311</v>
          </cell>
          <cell r="Y117">
            <v>5517.9704016913311</v>
          </cell>
          <cell r="Z117">
            <v>0</v>
          </cell>
          <cell r="AA117">
            <v>8562.3678646934459</v>
          </cell>
          <cell r="AB117">
            <v>5517.9704016913311</v>
          </cell>
          <cell r="AC117">
            <v>5517.9704016913311</v>
          </cell>
          <cell r="AD117">
            <v>5517.9704016913311</v>
          </cell>
          <cell r="AE117">
            <v>5517.9704016913311</v>
          </cell>
          <cell r="AF117">
            <v>0</v>
          </cell>
          <cell r="AG117">
            <v>0</v>
          </cell>
          <cell r="AH117">
            <v>5517.9704016913311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3176</v>
          </cell>
          <cell r="U118">
            <v>4572</v>
          </cell>
          <cell r="V118">
            <v>4416</v>
          </cell>
          <cell r="W118">
            <v>3816</v>
          </cell>
          <cell r="X118">
            <v>4080</v>
          </cell>
          <cell r="Y118">
            <v>3808</v>
          </cell>
          <cell r="Z118">
            <v>0</v>
          </cell>
          <cell r="AA118">
            <v>5975</v>
          </cell>
          <cell r="AB118">
            <v>4512</v>
          </cell>
          <cell r="AC118">
            <v>4576</v>
          </cell>
          <cell r="AD118">
            <v>2935</v>
          </cell>
          <cell r="AE118">
            <v>1440</v>
          </cell>
          <cell r="AF118">
            <v>0</v>
          </cell>
          <cell r="AG118">
            <v>0</v>
          </cell>
          <cell r="AH118">
            <v>3168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</row>
        <row r="119"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0.42442605363984665</v>
          </cell>
          <cell r="U119">
            <v>0.17143448275862061</v>
          </cell>
          <cell r="V119">
            <v>0.19970574712643663</v>
          </cell>
          <cell r="W119">
            <v>0.30844137931034477</v>
          </cell>
          <cell r="X119">
            <v>0.26059770114942515</v>
          </cell>
          <cell r="Y119">
            <v>0.30989118773946345</v>
          </cell>
          <cell r="Z119">
            <v>0</v>
          </cell>
          <cell r="AA119">
            <v>0.30217901234567901</v>
          </cell>
          <cell r="AB119">
            <v>0.18230804597701133</v>
          </cell>
          <cell r="AC119">
            <v>0.17070957854406121</v>
          </cell>
          <cell r="AD119">
            <v>0.46810153256704967</v>
          </cell>
          <cell r="AE119">
            <v>0.7390344827586206</v>
          </cell>
          <cell r="AF119">
            <v>0</v>
          </cell>
          <cell r="AG119">
            <v>0</v>
          </cell>
          <cell r="AH119">
            <v>0.42587586206896544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</row>
        <row r="120"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13</v>
          </cell>
          <cell r="U120">
            <v>6</v>
          </cell>
          <cell r="V120">
            <v>9</v>
          </cell>
          <cell r="W120">
            <v>2</v>
          </cell>
          <cell r="X120">
            <v>25</v>
          </cell>
          <cell r="Y120">
            <v>0</v>
          </cell>
          <cell r="Z120">
            <v>0</v>
          </cell>
          <cell r="AA120">
            <v>24</v>
          </cell>
          <cell r="AB120">
            <v>19</v>
          </cell>
          <cell r="AC120">
            <v>12</v>
          </cell>
          <cell r="AD120">
            <v>5</v>
          </cell>
          <cell r="AE120">
            <v>4</v>
          </cell>
          <cell r="AF120">
            <v>0</v>
          </cell>
          <cell r="AG120">
            <v>0</v>
          </cell>
          <cell r="AH120">
            <v>9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</row>
        <row r="121"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4.0765130134838507E-3</v>
          </cell>
          <cell r="U121">
            <v>1.3106159895150721E-3</v>
          </cell>
          <cell r="V121">
            <v>2.0338983050847458E-3</v>
          </cell>
          <cell r="W121">
            <v>5.2383446830801469E-4</v>
          </cell>
          <cell r="X121">
            <v>6.0901339829476245E-3</v>
          </cell>
          <cell r="Y121">
            <v>0</v>
          </cell>
          <cell r="Z121">
            <v>0</v>
          </cell>
          <cell r="AA121">
            <v>4.0006667777962995E-3</v>
          </cell>
          <cell r="AB121">
            <v>4.193334804678879E-3</v>
          </cell>
          <cell r="AC121">
            <v>2.6155187445510027E-3</v>
          </cell>
          <cell r="AD121">
            <v>1.7006802721088435E-3</v>
          </cell>
          <cell r="AE121">
            <v>2.7700831024930748E-3</v>
          </cell>
          <cell r="AF121">
            <v>0</v>
          </cell>
          <cell r="AG121">
            <v>0</v>
          </cell>
          <cell r="AH121">
            <v>2.8328611898016999E-3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</row>
        <row r="122"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 t="e">
            <v>#DIV/0!</v>
          </cell>
          <cell r="R122">
            <v>0</v>
          </cell>
          <cell r="S122">
            <v>0</v>
          </cell>
          <cell r="T122">
            <v>17440</v>
          </cell>
          <cell r="U122">
            <v>-42</v>
          </cell>
          <cell r="V122">
            <v>2.4082568807339451E-3</v>
          </cell>
          <cell r="W122">
            <v>17398</v>
          </cell>
          <cell r="X122">
            <v>0.40773561253561252</v>
          </cell>
          <cell r="Y122">
            <v>0</v>
          </cell>
          <cell r="Z122">
            <v>0</v>
          </cell>
          <cell r="AA122">
            <v>19196</v>
          </cell>
          <cell r="AB122">
            <v>-47</v>
          </cell>
          <cell r="AC122">
            <v>2.4484267555740778E-3</v>
          </cell>
          <cell r="AD122">
            <v>19149</v>
          </cell>
          <cell r="AE122">
            <v>0.52743428335398601</v>
          </cell>
          <cell r="AF122">
            <v>0</v>
          </cell>
          <cell r="AG122">
            <v>0</v>
          </cell>
          <cell r="AH122">
            <v>5696</v>
          </cell>
          <cell r="AI122">
            <v>-17</v>
          </cell>
          <cell r="AJ122">
            <v>2.9845505617977527E-3</v>
          </cell>
          <cell r="AK122">
            <v>5679</v>
          </cell>
          <cell r="AL122">
            <v>0.16177382716049382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 t="e">
            <v>#DIV/0!</v>
          </cell>
          <cell r="AT122">
            <v>0</v>
          </cell>
          <cell r="AU122">
            <v>0</v>
          </cell>
        </row>
        <row r="123"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6795.3020134228191</v>
          </cell>
          <cell r="U123">
            <v>6795.3020134228191</v>
          </cell>
          <cell r="V123">
            <v>6795.3020134228191</v>
          </cell>
          <cell r="W123">
            <v>6795.3020134228191</v>
          </cell>
          <cell r="X123">
            <v>2265.1006711409395</v>
          </cell>
          <cell r="Y123">
            <v>0</v>
          </cell>
          <cell r="Z123">
            <v>0</v>
          </cell>
          <cell r="AA123">
            <v>6795.3020134228191</v>
          </cell>
          <cell r="AB123">
            <v>6795.3020134228191</v>
          </cell>
          <cell r="AC123">
            <v>6795.3020134228191</v>
          </cell>
          <cell r="AD123">
            <v>6795.3020134228191</v>
          </cell>
          <cell r="AE123">
            <v>6795.3020134228191</v>
          </cell>
          <cell r="AF123">
            <v>4379.1946308724837</v>
          </cell>
          <cell r="AG123">
            <v>2265.1006711409395</v>
          </cell>
          <cell r="AH123">
            <v>6795.3020134228191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</row>
        <row r="124"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5184</v>
          </cell>
          <cell r="U124">
            <v>5376</v>
          </cell>
          <cell r="V124">
            <v>3984</v>
          </cell>
          <cell r="W124">
            <v>2608</v>
          </cell>
          <cell r="X124">
            <v>288</v>
          </cell>
          <cell r="Y124">
            <v>0</v>
          </cell>
          <cell r="Z124">
            <v>0</v>
          </cell>
          <cell r="AA124">
            <v>0</v>
          </cell>
          <cell r="AB124">
            <v>1870</v>
          </cell>
          <cell r="AC124">
            <v>3978</v>
          </cell>
          <cell r="AD124">
            <v>4432</v>
          </cell>
          <cell r="AE124">
            <v>4970</v>
          </cell>
          <cell r="AF124">
            <v>2570</v>
          </cell>
          <cell r="AG124">
            <v>1376</v>
          </cell>
          <cell r="AH124">
            <v>5696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</row>
        <row r="125"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0.23712</v>
          </cell>
          <cell r="U125">
            <v>0.20886518518518526</v>
          </cell>
          <cell r="V125">
            <v>0.41371259259259263</v>
          </cell>
          <cell r="W125">
            <v>0.61620543209876544</v>
          </cell>
          <cell r="X125">
            <v>0.87285333333333337</v>
          </cell>
          <cell r="Y125">
            <v>0</v>
          </cell>
          <cell r="Z125">
            <v>0</v>
          </cell>
          <cell r="AA125">
            <v>1</v>
          </cell>
          <cell r="AB125">
            <v>0.72480987654320983</v>
          </cell>
          <cell r="AC125">
            <v>0.41459555555555561</v>
          </cell>
          <cell r="AD125">
            <v>0.3477846913580247</v>
          </cell>
          <cell r="AE125">
            <v>0.26861234567901238</v>
          </cell>
          <cell r="AF125">
            <v>0.41313409961685832</v>
          </cell>
          <cell r="AG125">
            <v>0.39252148148148147</v>
          </cell>
          <cell r="AH125">
            <v>0.16177382716049382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</row>
        <row r="126"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6</v>
          </cell>
          <cell r="U126">
            <v>21</v>
          </cell>
          <cell r="V126">
            <v>4</v>
          </cell>
          <cell r="W126">
            <v>7</v>
          </cell>
          <cell r="X126">
            <v>0</v>
          </cell>
          <cell r="Y126">
            <v>4</v>
          </cell>
          <cell r="Z126">
            <v>0</v>
          </cell>
          <cell r="AA126">
            <v>0</v>
          </cell>
          <cell r="AB126">
            <v>11</v>
          </cell>
          <cell r="AC126">
            <v>7</v>
          </cell>
          <cell r="AD126">
            <v>2</v>
          </cell>
          <cell r="AE126">
            <v>3</v>
          </cell>
          <cell r="AF126">
            <v>8</v>
          </cell>
          <cell r="AG126">
            <v>16</v>
          </cell>
          <cell r="AH126">
            <v>17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</row>
        <row r="127"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1.1560693641618498E-3</v>
          </cell>
          <cell r="U127">
            <v>3.8910505836575876E-3</v>
          </cell>
          <cell r="V127">
            <v>1.0030090270812437E-3</v>
          </cell>
          <cell r="W127">
            <v>2.6768642447418736E-3</v>
          </cell>
          <cell r="X127">
            <v>0</v>
          </cell>
          <cell r="Y127">
            <v>1</v>
          </cell>
          <cell r="Z127">
            <v>0</v>
          </cell>
          <cell r="AA127">
            <v>0</v>
          </cell>
          <cell r="AB127">
            <v>5.8479532163742687E-3</v>
          </cell>
          <cell r="AC127">
            <v>1.7565872020075283E-3</v>
          </cell>
          <cell r="AD127">
            <v>4.5105999097880018E-4</v>
          </cell>
          <cell r="AE127">
            <v>6.0325759099135335E-4</v>
          </cell>
          <cell r="AF127">
            <v>3.1031807602792862E-3</v>
          </cell>
          <cell r="AG127">
            <v>1.1494252873563218E-2</v>
          </cell>
          <cell r="AH127">
            <v>2.9756695256432696E-3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</row>
        <row r="128"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 t="e">
            <v>#DIV/0!</v>
          </cell>
          <cell r="R128">
            <v>0</v>
          </cell>
          <cell r="S128">
            <v>0</v>
          </cell>
          <cell r="T128">
            <v>80959</v>
          </cell>
          <cell r="U128">
            <v>-243</v>
          </cell>
          <cell r="V128">
            <v>3.001519287540607E-3</v>
          </cell>
          <cell r="W128">
            <v>80716</v>
          </cell>
          <cell r="X128">
            <v>0.33351530669249674</v>
          </cell>
          <cell r="Y128">
            <v>0</v>
          </cell>
          <cell r="Z128">
            <v>0</v>
          </cell>
          <cell r="AA128">
            <v>88189</v>
          </cell>
          <cell r="AB128">
            <v>-260</v>
          </cell>
          <cell r="AC128">
            <v>2.9482134960142421E-3</v>
          </cell>
          <cell r="AD128">
            <v>87929</v>
          </cell>
          <cell r="AE128">
            <v>0.35798718764798321</v>
          </cell>
          <cell r="AF128">
            <v>0</v>
          </cell>
          <cell r="AG128">
            <v>0</v>
          </cell>
          <cell r="AH128">
            <v>16608</v>
          </cell>
          <cell r="AI128">
            <v>-56</v>
          </cell>
          <cell r="AJ128">
            <v>3.3718689788053949E-3</v>
          </cell>
          <cell r="AK128">
            <v>16552</v>
          </cell>
          <cell r="AL128">
            <v>0.27002348090512607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 t="e">
            <v>#DIV/0!</v>
          </cell>
          <cell r="AT128">
            <v>0</v>
          </cell>
          <cell r="AU128">
            <v>0</v>
          </cell>
        </row>
        <row r="129"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22751.416745011058</v>
          </cell>
          <cell r="U129">
            <v>22751.416745011058</v>
          </cell>
          <cell r="V129">
            <v>22751.416745011058</v>
          </cell>
          <cell r="W129">
            <v>22751.416745011058</v>
          </cell>
          <cell r="X129">
            <v>18221.21540272918</v>
          </cell>
          <cell r="Y129">
            <v>12244.774525402672</v>
          </cell>
          <cell r="Z129">
            <v>0</v>
          </cell>
          <cell r="AA129">
            <v>25795.814208013173</v>
          </cell>
          <cell r="AB129">
            <v>22751.416745011058</v>
          </cell>
          <cell r="AC129">
            <v>22751.416745011058</v>
          </cell>
          <cell r="AD129">
            <v>22751.416745011058</v>
          </cell>
          <cell r="AE129">
            <v>22751.416745011058</v>
          </cell>
          <cell r="AF129">
            <v>14817.338960769392</v>
          </cell>
          <cell r="AG129">
            <v>5744.4821144399084</v>
          </cell>
          <cell r="AH129">
            <v>22751.416745011058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30"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14664</v>
          </cell>
          <cell r="U130">
            <v>16860</v>
          </cell>
          <cell r="V130">
            <v>16079</v>
          </cell>
          <cell r="W130">
            <v>13436</v>
          </cell>
          <cell r="X130">
            <v>11760</v>
          </cell>
          <cell r="Y130">
            <v>8160</v>
          </cell>
          <cell r="Z130">
            <v>0</v>
          </cell>
          <cell r="AA130">
            <v>13531</v>
          </cell>
          <cell r="AB130">
            <v>13959</v>
          </cell>
          <cell r="AC130">
            <v>15978</v>
          </cell>
          <cell r="AD130">
            <v>14343</v>
          </cell>
          <cell r="AE130">
            <v>14808</v>
          </cell>
          <cell r="AF130">
            <v>11378</v>
          </cell>
          <cell r="AG130">
            <v>4192</v>
          </cell>
          <cell r="AH130">
            <v>16608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</row>
        <row r="131"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0.35546870929628904</v>
          </cell>
          <cell r="U131">
            <v>0.25894724759516041</v>
          </cell>
          <cell r="V131">
            <v>0.29327478019469666</v>
          </cell>
          <cell r="W131">
            <v>0.40944337002897846</v>
          </cell>
          <cell r="X131">
            <v>0.35459848643035174</v>
          </cell>
          <cell r="Y131">
            <v>0.33359328233676422</v>
          </cell>
          <cell r="Z131">
            <v>0</v>
          </cell>
          <cell r="AA131">
            <v>0.47545753388948075</v>
          </cell>
          <cell r="AB131">
            <v>0.38645579058012125</v>
          </cell>
          <cell r="AC131">
            <v>0.29771406418003998</v>
          </cell>
          <cell r="AD131">
            <v>0.36957772077445949</v>
          </cell>
          <cell r="AE131">
            <v>0.34913943311916584</v>
          </cell>
          <cell r="AF131">
            <v>0.23211583199084784</v>
          </cell>
          <cell r="AG131">
            <v>0.27025623607347182</v>
          </cell>
          <cell r="AH131">
            <v>0.27002348090512607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</row>
        <row r="132"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54</v>
          </cell>
          <cell r="U132">
            <v>37</v>
          </cell>
          <cell r="V132">
            <v>51</v>
          </cell>
          <cell r="W132">
            <v>31</v>
          </cell>
          <cell r="X132">
            <v>62</v>
          </cell>
          <cell r="Y132">
            <v>8</v>
          </cell>
          <cell r="Z132">
            <v>0</v>
          </cell>
          <cell r="AA132">
            <v>52</v>
          </cell>
          <cell r="AB132">
            <v>58</v>
          </cell>
          <cell r="AC132">
            <v>40</v>
          </cell>
          <cell r="AD132">
            <v>21</v>
          </cell>
          <cell r="AE132">
            <v>22</v>
          </cell>
          <cell r="AF132">
            <v>38</v>
          </cell>
          <cell r="AG132">
            <v>29</v>
          </cell>
          <cell r="AH132">
            <v>56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</row>
        <row r="133"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3.6689767631471666E-3</v>
          </cell>
          <cell r="U133">
            <v>2.1897378232822395E-3</v>
          </cell>
          <cell r="V133">
            <v>3.1618102913825172E-3</v>
          </cell>
          <cell r="W133">
            <v>2.3019232197222842E-3</v>
          </cell>
          <cell r="X133">
            <v>5.2444594823210962E-3</v>
          </cell>
          <cell r="Y133">
            <v>9.7943192948090111E-4</v>
          </cell>
          <cell r="Z133">
            <v>0</v>
          </cell>
          <cell r="AA133">
            <v>3.8283148052712952E-3</v>
          </cell>
          <cell r="AB133">
            <v>4.1378326318042375E-3</v>
          </cell>
          <cell r="AC133">
            <v>2.4971906605069298E-3</v>
          </cell>
          <cell r="AD133">
            <v>1.4619883040935672E-3</v>
          </cell>
          <cell r="AE133">
            <v>1.4834794335805799E-3</v>
          </cell>
          <cell r="AF133">
            <v>3.3286615276804485E-3</v>
          </cell>
          <cell r="AG133">
            <v>6.8704098554844819E-3</v>
          </cell>
          <cell r="AH133">
            <v>3.3605376860297649E-3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</row>
      </sheetData>
      <sheetData sheetId="1">
        <row r="4">
          <cell r="M4">
            <v>38537</v>
          </cell>
          <cell r="N4">
            <v>38538</v>
          </cell>
          <cell r="O4">
            <v>38539</v>
          </cell>
          <cell r="P4">
            <v>38540</v>
          </cell>
          <cell r="Q4">
            <v>38541</v>
          </cell>
          <cell r="R4">
            <v>38542</v>
          </cell>
          <cell r="S4">
            <v>38543</v>
          </cell>
          <cell r="T4">
            <v>38544</v>
          </cell>
          <cell r="U4">
            <v>38545</v>
          </cell>
          <cell r="V4">
            <v>38546</v>
          </cell>
          <cell r="W4">
            <v>38547</v>
          </cell>
          <cell r="X4">
            <v>38548</v>
          </cell>
          <cell r="Y4">
            <v>38549</v>
          </cell>
          <cell r="Z4">
            <v>38550</v>
          </cell>
          <cell r="AA4">
            <v>38551</v>
          </cell>
          <cell r="AB4">
            <v>38552</v>
          </cell>
          <cell r="AC4">
            <v>38553</v>
          </cell>
          <cell r="AD4">
            <v>38554</v>
          </cell>
          <cell r="AE4">
            <v>38555</v>
          </cell>
          <cell r="AF4">
            <v>38556</v>
          </cell>
          <cell r="AG4">
            <v>38557</v>
          </cell>
          <cell r="AH4">
            <v>38558</v>
          </cell>
          <cell r="AI4">
            <v>38559</v>
          </cell>
          <cell r="AJ4">
            <v>38560</v>
          </cell>
          <cell r="AK4">
            <v>38561</v>
          </cell>
          <cell r="AL4">
            <v>38562</v>
          </cell>
          <cell r="AM4">
            <v>38563</v>
          </cell>
          <cell r="AN4">
            <v>38564</v>
          </cell>
          <cell r="AO4">
            <v>38565</v>
          </cell>
          <cell r="AP4">
            <v>38566</v>
          </cell>
          <cell r="AQ4">
            <v>38567</v>
          </cell>
          <cell r="AR4">
            <v>38568</v>
          </cell>
          <cell r="AS4">
            <v>38569</v>
          </cell>
          <cell r="AT4">
            <v>38570</v>
          </cell>
          <cell r="AU4">
            <v>38571</v>
          </cell>
        </row>
        <row r="5">
          <cell r="M5">
            <v>0.58326822916666765</v>
          </cell>
          <cell r="N5">
            <v>0.58326822916666665</v>
          </cell>
          <cell r="T5">
            <v>0.51016553915539153</v>
          </cell>
          <cell r="U5">
            <v>0.51016553915539165</v>
          </cell>
          <cell r="AA5">
            <v>0.324913194444446</v>
          </cell>
          <cell r="AB5">
            <v>0.58917592592592605</v>
          </cell>
          <cell r="AH5">
            <v>0.25947627314814814</v>
          </cell>
          <cell r="AI5">
            <v>0.83032407407407416</v>
          </cell>
          <cell r="AO5">
            <v>0</v>
          </cell>
          <cell r="AP5" t="e">
            <v>#DIV/0!</v>
          </cell>
        </row>
        <row r="6">
          <cell r="M6">
            <v>24</v>
          </cell>
          <cell r="N6">
            <v>24</v>
          </cell>
          <cell r="O6">
            <v>24</v>
          </cell>
          <cell r="P6">
            <v>24</v>
          </cell>
          <cell r="Q6">
            <v>11.999999999999901</v>
          </cell>
          <cell r="R6">
            <v>11.999999999999901</v>
          </cell>
          <cell r="S6">
            <v>0</v>
          </cell>
          <cell r="T6">
            <v>24</v>
          </cell>
          <cell r="U6">
            <v>24</v>
          </cell>
          <cell r="V6">
            <v>24</v>
          </cell>
          <cell r="W6">
            <v>24</v>
          </cell>
          <cell r="X6">
            <v>15.5</v>
          </cell>
          <cell r="Y6">
            <v>24</v>
          </cell>
          <cell r="Z6">
            <v>0</v>
          </cell>
          <cell r="AA6">
            <v>11.999999999999901</v>
          </cell>
          <cell r="AB6">
            <v>11.999999999999901</v>
          </cell>
          <cell r="AC6">
            <v>11.999999999999901</v>
          </cell>
          <cell r="AD6">
            <v>11.999999999999901</v>
          </cell>
          <cell r="AE6">
            <v>11.999999999999901</v>
          </cell>
          <cell r="AF6">
            <v>8.0000000000001705</v>
          </cell>
          <cell r="AG6">
            <v>0</v>
          </cell>
          <cell r="AH6">
            <v>24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</row>
        <row r="7"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</row>
        <row r="8">
          <cell r="M8">
            <v>0.56703559027777772</v>
          </cell>
          <cell r="N8">
            <v>0.62815393518518514</v>
          </cell>
          <cell r="O8">
            <v>0.60429687499999996</v>
          </cell>
          <cell r="P8">
            <v>0.4814453125</v>
          </cell>
          <cell r="Q8">
            <v>0.57724247685185182</v>
          </cell>
          <cell r="R8">
            <v>0.69357638888888884</v>
          </cell>
          <cell r="S8">
            <v>0</v>
          </cell>
          <cell r="T8">
            <v>0.52362557870370374</v>
          </cell>
          <cell r="U8">
            <v>0.59027777777777779</v>
          </cell>
          <cell r="V8">
            <v>0.38466435185185183</v>
          </cell>
          <cell r="W8">
            <v>0.37322771990740738</v>
          </cell>
          <cell r="X8">
            <v>0.61465053763440858</v>
          </cell>
          <cell r="Y8">
            <v>0.61155237268518514</v>
          </cell>
          <cell r="Z8">
            <v>0</v>
          </cell>
          <cell r="AA8">
            <v>0.4497916666666667</v>
          </cell>
          <cell r="AB8">
            <v>0.7638194444444445</v>
          </cell>
          <cell r="AC8">
            <v>0.64930555555555558</v>
          </cell>
          <cell r="AD8">
            <v>0</v>
          </cell>
          <cell r="AE8">
            <v>0.4371990740740741</v>
          </cell>
          <cell r="AF8">
            <v>0.64576388888888892</v>
          </cell>
          <cell r="AG8">
            <v>0</v>
          </cell>
          <cell r="AH8">
            <v>0.83032407407407416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</row>
        <row r="9">
          <cell r="M9">
            <v>0.56703559027777783</v>
          </cell>
          <cell r="N9">
            <v>0.62815393518518514</v>
          </cell>
          <cell r="O9">
            <v>0.60429687500000007</v>
          </cell>
          <cell r="P9">
            <v>0.4814453125</v>
          </cell>
          <cell r="Q9">
            <v>0.57724247685185659</v>
          </cell>
          <cell r="R9">
            <v>0.69357638888889461</v>
          </cell>
          <cell r="S9" t="e">
            <v>#DIV/0!</v>
          </cell>
          <cell r="T9">
            <v>0.52362557870370374</v>
          </cell>
          <cell r="U9">
            <v>0.59027777777777779</v>
          </cell>
          <cell r="V9">
            <v>0.38466435185185183</v>
          </cell>
          <cell r="W9">
            <v>0.37322771990740744</v>
          </cell>
          <cell r="X9">
            <v>0.61465053763440858</v>
          </cell>
          <cell r="Y9">
            <v>0.61155237268518514</v>
          </cell>
          <cell r="Z9" t="e">
            <v>#DIV/0!</v>
          </cell>
          <cell r="AA9">
            <v>0.28111979166666901</v>
          </cell>
          <cell r="AB9">
            <v>0.47738715277778171</v>
          </cell>
          <cell r="AC9">
            <v>0.4058159722222256</v>
          </cell>
          <cell r="AD9">
            <v>0</v>
          </cell>
          <cell r="AE9">
            <v>0.27324942129629853</v>
          </cell>
          <cell r="AF9">
            <v>0.6054036458333204</v>
          </cell>
          <cell r="AG9" t="e">
            <v>#DIV/0!</v>
          </cell>
          <cell r="AH9">
            <v>0.25947627314814814</v>
          </cell>
          <cell r="AI9" t="e">
            <v>#DIV/0!</v>
          </cell>
          <cell r="AJ9" t="e">
            <v>#DIV/0!</v>
          </cell>
          <cell r="AK9" t="e">
            <v>#DIV/0!</v>
          </cell>
          <cell r="AL9" t="e">
            <v>#DIV/0!</v>
          </cell>
          <cell r="AM9" t="e">
            <v>#DIV/0!</v>
          </cell>
          <cell r="AN9" t="e">
            <v>#DIV/0!</v>
          </cell>
          <cell r="AO9" t="e">
            <v>#DIV/0!</v>
          </cell>
          <cell r="AP9" t="e">
            <v>#DIV/0!</v>
          </cell>
          <cell r="AQ9" t="e">
            <v>#DIV/0!</v>
          </cell>
          <cell r="AR9" t="e">
            <v>#DIV/0!</v>
          </cell>
          <cell r="AS9" t="e">
            <v>#DIV/0!</v>
          </cell>
          <cell r="AT9" t="e">
            <v>#DIV/0!</v>
          </cell>
          <cell r="AU9" t="e">
            <v>#DIV/0!</v>
          </cell>
        </row>
        <row r="11">
          <cell r="M11">
            <v>0.57254629629629639</v>
          </cell>
          <cell r="N11">
            <v>0.57254629629629628</v>
          </cell>
          <cell r="T11">
            <v>0.57805837433374341</v>
          </cell>
          <cell r="U11">
            <v>0.57805837433374341</v>
          </cell>
          <cell r="AA11">
            <v>0.69001012731481481</v>
          </cell>
          <cell r="AB11">
            <v>0.69001012731481493</v>
          </cell>
          <cell r="AH11">
            <v>0.55670572916666672</v>
          </cell>
          <cell r="AI11">
            <v>0.55670572916666661</v>
          </cell>
          <cell r="AO11">
            <v>0</v>
          </cell>
          <cell r="AP11" t="e">
            <v>#DIV/0!</v>
          </cell>
        </row>
        <row r="12">
          <cell r="M12">
            <v>16</v>
          </cell>
          <cell r="N12">
            <v>15.5</v>
          </cell>
          <cell r="O12">
            <v>24</v>
          </cell>
          <cell r="P12">
            <v>24</v>
          </cell>
          <cell r="Q12">
            <v>24</v>
          </cell>
          <cell r="R12">
            <v>24</v>
          </cell>
          <cell r="S12">
            <v>0</v>
          </cell>
          <cell r="T12">
            <v>24</v>
          </cell>
          <cell r="U12">
            <v>24</v>
          </cell>
          <cell r="V12">
            <v>24</v>
          </cell>
          <cell r="W12">
            <v>24</v>
          </cell>
          <cell r="X12">
            <v>15.5</v>
          </cell>
          <cell r="Y12">
            <v>24</v>
          </cell>
          <cell r="Z12">
            <v>0</v>
          </cell>
          <cell r="AA12">
            <v>24</v>
          </cell>
          <cell r="AB12">
            <v>24</v>
          </cell>
          <cell r="AC12">
            <v>24</v>
          </cell>
          <cell r="AD12">
            <v>24</v>
          </cell>
          <cell r="AE12">
            <v>24</v>
          </cell>
          <cell r="AF12">
            <v>24</v>
          </cell>
          <cell r="AG12">
            <v>0</v>
          </cell>
          <cell r="AH12">
            <v>24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</row>
        <row r="13"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</row>
        <row r="14">
          <cell r="M14">
            <v>0.54360894097222223</v>
          </cell>
          <cell r="N14">
            <v>0.41452732974910395</v>
          </cell>
          <cell r="O14">
            <v>0.51206597222222217</v>
          </cell>
          <cell r="P14">
            <v>0.66418547453703702</v>
          </cell>
          <cell r="Q14">
            <v>0.65483940972222221</v>
          </cell>
          <cell r="R14">
            <v>0.58043981481481477</v>
          </cell>
          <cell r="S14">
            <v>0</v>
          </cell>
          <cell r="T14">
            <v>0.49792390046296298</v>
          </cell>
          <cell r="U14">
            <v>0.70501302083333328</v>
          </cell>
          <cell r="V14">
            <v>0.54428530092592586</v>
          </cell>
          <cell r="W14">
            <v>0.57392216435185184</v>
          </cell>
          <cell r="X14">
            <v>0.59656137992831537</v>
          </cell>
          <cell r="Y14">
            <v>0.55719762731481481</v>
          </cell>
          <cell r="Z14">
            <v>0</v>
          </cell>
          <cell r="AA14">
            <v>0.61720920138888891</v>
          </cell>
          <cell r="AB14">
            <v>0.81741174768518521</v>
          </cell>
          <cell r="AC14">
            <v>0.80019531249999998</v>
          </cell>
          <cell r="AD14">
            <v>0.76231915509259263</v>
          </cell>
          <cell r="AE14">
            <v>0.5146484375</v>
          </cell>
          <cell r="AF14">
            <v>0.62827690972222217</v>
          </cell>
          <cell r="AG14">
            <v>0</v>
          </cell>
          <cell r="AH14">
            <v>0.55670572916666661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</row>
        <row r="15">
          <cell r="M15">
            <v>0.54360894097222223</v>
          </cell>
          <cell r="N15">
            <v>0.41452732974910395</v>
          </cell>
          <cell r="O15">
            <v>0.51206597222222217</v>
          </cell>
          <cell r="P15">
            <v>0.66418547453703702</v>
          </cell>
          <cell r="Q15">
            <v>0.65483940972222221</v>
          </cell>
          <cell r="R15">
            <v>0.58043981481481477</v>
          </cell>
          <cell r="S15" t="e">
            <v>#DIV/0!</v>
          </cell>
          <cell r="T15">
            <v>0.49792390046296298</v>
          </cell>
          <cell r="U15">
            <v>0.70501302083333339</v>
          </cell>
          <cell r="V15">
            <v>0.54428530092592597</v>
          </cell>
          <cell r="W15">
            <v>0.57392216435185184</v>
          </cell>
          <cell r="X15">
            <v>0.59656137992831537</v>
          </cell>
          <cell r="Y15">
            <v>0.55719762731481481</v>
          </cell>
          <cell r="Z15" t="e">
            <v>#DIV/0!</v>
          </cell>
          <cell r="AA15">
            <v>0.61720920138888891</v>
          </cell>
          <cell r="AB15">
            <v>0.81741174768518521</v>
          </cell>
          <cell r="AC15">
            <v>0.80019531249999998</v>
          </cell>
          <cell r="AD15">
            <v>0.76231915509259263</v>
          </cell>
          <cell r="AE15">
            <v>0.5146484375</v>
          </cell>
          <cell r="AF15">
            <v>0.62827690972222217</v>
          </cell>
          <cell r="AG15" t="e">
            <v>#DIV/0!</v>
          </cell>
          <cell r="AH15">
            <v>0.55670572916666672</v>
          </cell>
          <cell r="AI15" t="e">
            <v>#DIV/0!</v>
          </cell>
          <cell r="AJ15" t="e">
            <v>#DIV/0!</v>
          </cell>
          <cell r="AK15" t="e">
            <v>#DIV/0!</v>
          </cell>
          <cell r="AL15" t="e">
            <v>#DIV/0!</v>
          </cell>
          <cell r="AM15" t="e">
            <v>#DIV/0!</v>
          </cell>
          <cell r="AN15" t="e">
            <v>#DIV/0!</v>
          </cell>
          <cell r="AO15" t="e">
            <v>#DIV/0!</v>
          </cell>
          <cell r="AP15" t="e">
            <v>#DIV/0!</v>
          </cell>
          <cell r="AQ15" t="e">
            <v>#DIV/0!</v>
          </cell>
          <cell r="AR15" t="e">
            <v>#DIV/0!</v>
          </cell>
          <cell r="AS15" t="e">
            <v>#DIV/0!</v>
          </cell>
          <cell r="AT15" t="e">
            <v>#DIV/0!</v>
          </cell>
          <cell r="AU15" t="e">
            <v>#DIV/0!</v>
          </cell>
        </row>
        <row r="17">
          <cell r="M17">
            <v>0.57736136736367361</v>
          </cell>
          <cell r="N17">
            <v>0.57736136736367372</v>
          </cell>
          <cell r="T17">
            <v>0.63553240740740735</v>
          </cell>
          <cell r="U17">
            <v>0.63553240740740746</v>
          </cell>
          <cell r="AA17">
            <v>0.6367211612654321</v>
          </cell>
          <cell r="AB17">
            <v>0.63672116126543221</v>
          </cell>
          <cell r="AH17">
            <v>0.5795789930555556</v>
          </cell>
          <cell r="AI17">
            <v>0.57957899305555549</v>
          </cell>
          <cell r="AO17">
            <v>0</v>
          </cell>
          <cell r="AP17" t="e">
            <v>#DIV/0!</v>
          </cell>
        </row>
        <row r="18">
          <cell r="M18">
            <v>15.5</v>
          </cell>
          <cell r="N18">
            <v>24</v>
          </cell>
          <cell r="O18">
            <v>24</v>
          </cell>
          <cell r="P18">
            <v>24</v>
          </cell>
          <cell r="Q18">
            <v>24</v>
          </cell>
          <cell r="R18">
            <v>24</v>
          </cell>
          <cell r="S18">
            <v>0</v>
          </cell>
          <cell r="T18">
            <v>24</v>
          </cell>
          <cell r="U18">
            <v>24</v>
          </cell>
          <cell r="V18">
            <v>24</v>
          </cell>
          <cell r="W18">
            <v>24</v>
          </cell>
          <cell r="X18">
            <v>24</v>
          </cell>
          <cell r="Y18">
            <v>24</v>
          </cell>
          <cell r="Z18">
            <v>0</v>
          </cell>
          <cell r="AA18">
            <v>24</v>
          </cell>
          <cell r="AB18">
            <v>24</v>
          </cell>
          <cell r="AC18">
            <v>24</v>
          </cell>
          <cell r="AD18">
            <v>24</v>
          </cell>
          <cell r="AE18">
            <v>24</v>
          </cell>
          <cell r="AF18">
            <v>24</v>
          </cell>
          <cell r="AG18">
            <v>0</v>
          </cell>
          <cell r="AH18">
            <v>24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</row>
        <row r="19"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</row>
        <row r="20">
          <cell r="M20">
            <v>0.5175403225806452</v>
          </cell>
          <cell r="N20">
            <v>0.63737702546296293</v>
          </cell>
          <cell r="O20">
            <v>0.6982494212962963</v>
          </cell>
          <cell r="P20">
            <v>0.65938946759259254</v>
          </cell>
          <cell r="Q20">
            <v>0.52510127314814814</v>
          </cell>
          <cell r="R20">
            <v>0.40532407407407406</v>
          </cell>
          <cell r="S20">
            <v>0</v>
          </cell>
          <cell r="T20">
            <v>0.54748263888888893</v>
          </cell>
          <cell r="U20">
            <v>0.64143518518518516</v>
          </cell>
          <cell r="V20">
            <v>0.72554976851851849</v>
          </cell>
          <cell r="W20">
            <v>0.63479456018518521</v>
          </cell>
          <cell r="X20">
            <v>0.59261429398148147</v>
          </cell>
          <cell r="Y20">
            <v>0.67131799768518519</v>
          </cell>
          <cell r="Z20">
            <v>0</v>
          </cell>
          <cell r="AA20">
            <v>0.47000868055555556</v>
          </cell>
          <cell r="AB20">
            <v>0.6645543981481481</v>
          </cell>
          <cell r="AC20">
            <v>0.66898148148148151</v>
          </cell>
          <cell r="AD20">
            <v>0.6489366319444444</v>
          </cell>
          <cell r="AE20">
            <v>0.69394531250000002</v>
          </cell>
          <cell r="AF20">
            <v>0.67390046296296291</v>
          </cell>
          <cell r="AG20">
            <v>0</v>
          </cell>
          <cell r="AH20">
            <v>0.57957899305555549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</row>
        <row r="21">
          <cell r="M21">
            <v>0.51754032258064508</v>
          </cell>
          <cell r="N21">
            <v>0.63737702546296293</v>
          </cell>
          <cell r="O21">
            <v>0.6982494212962963</v>
          </cell>
          <cell r="P21">
            <v>0.65938946759259254</v>
          </cell>
          <cell r="Q21">
            <v>0.52510127314814814</v>
          </cell>
          <cell r="R21">
            <v>0.40532407407407406</v>
          </cell>
          <cell r="S21" t="e">
            <v>#DIV/0!</v>
          </cell>
          <cell r="T21">
            <v>0.54748263888888882</v>
          </cell>
          <cell r="U21">
            <v>0.64143518518518516</v>
          </cell>
          <cell r="V21">
            <v>0.72554976851851849</v>
          </cell>
          <cell r="W21">
            <v>0.63479456018518521</v>
          </cell>
          <cell r="X21">
            <v>0.59261429398148147</v>
          </cell>
          <cell r="Y21">
            <v>0.67131799768518519</v>
          </cell>
          <cell r="Z21" t="e">
            <v>#DIV/0!</v>
          </cell>
          <cell r="AA21">
            <v>0.4700086805555555</v>
          </cell>
          <cell r="AB21">
            <v>0.66455439814814821</v>
          </cell>
          <cell r="AC21">
            <v>0.66898148148148151</v>
          </cell>
          <cell r="AD21">
            <v>0.6489366319444444</v>
          </cell>
          <cell r="AE21">
            <v>0.69394531250000002</v>
          </cell>
          <cell r="AF21">
            <v>0.67390046296296291</v>
          </cell>
          <cell r="AG21" t="e">
            <v>#DIV/0!</v>
          </cell>
          <cell r="AH21">
            <v>0.5795789930555556</v>
          </cell>
          <cell r="AI21" t="e">
            <v>#DIV/0!</v>
          </cell>
          <cell r="AJ21" t="e">
            <v>#DIV/0!</v>
          </cell>
          <cell r="AK21" t="e">
            <v>#DIV/0!</v>
          </cell>
          <cell r="AL21" t="e">
            <v>#DIV/0!</v>
          </cell>
          <cell r="AM21" t="e">
            <v>#DIV/0!</v>
          </cell>
          <cell r="AN21" t="e">
            <v>#DIV/0!</v>
          </cell>
          <cell r="AO21" t="e">
            <v>#DIV/0!</v>
          </cell>
          <cell r="AP21" t="e">
            <v>#DIV/0!</v>
          </cell>
          <cell r="AQ21" t="e">
            <v>#DIV/0!</v>
          </cell>
          <cell r="AR21" t="e">
            <v>#DIV/0!</v>
          </cell>
          <cell r="AS21" t="e">
            <v>#DIV/0!</v>
          </cell>
          <cell r="AT21" t="e">
            <v>#DIV/0!</v>
          </cell>
          <cell r="AU21" t="e">
            <v>#DIV/0!</v>
          </cell>
        </row>
        <row r="23">
          <cell r="M23">
            <v>0.5658087047803616</v>
          </cell>
          <cell r="N23">
            <v>0.56580870478036172</v>
          </cell>
          <cell r="T23">
            <v>0.59312668788580247</v>
          </cell>
          <cell r="U23">
            <v>0.59312668788580258</v>
          </cell>
          <cell r="AA23">
            <v>0.68451726466049378</v>
          </cell>
          <cell r="AB23">
            <v>0.6845172646604939</v>
          </cell>
          <cell r="AH23">
            <v>0.65557725694444446</v>
          </cell>
          <cell r="AI23">
            <v>0.78669270833333338</v>
          </cell>
          <cell r="AO23">
            <v>0</v>
          </cell>
          <cell r="AP23" t="e">
            <v>#DIV/0!</v>
          </cell>
        </row>
        <row r="24">
          <cell r="M24">
            <v>24</v>
          </cell>
          <cell r="N24">
            <v>24</v>
          </cell>
          <cell r="O24">
            <v>6.0000000000000284</v>
          </cell>
          <cell r="P24">
            <v>8</v>
          </cell>
          <cell r="Q24">
            <v>0</v>
          </cell>
          <cell r="R24">
            <v>24</v>
          </cell>
          <cell r="S24">
            <v>0</v>
          </cell>
          <cell r="T24">
            <v>24</v>
          </cell>
          <cell r="U24">
            <v>24</v>
          </cell>
          <cell r="V24">
            <v>24</v>
          </cell>
          <cell r="W24">
            <v>24</v>
          </cell>
          <cell r="X24">
            <v>24</v>
          </cell>
          <cell r="Y24">
            <v>24</v>
          </cell>
          <cell r="Z24">
            <v>0</v>
          </cell>
          <cell r="AA24">
            <v>24</v>
          </cell>
          <cell r="AB24">
            <v>24</v>
          </cell>
          <cell r="AC24">
            <v>24</v>
          </cell>
          <cell r="AD24">
            <v>24</v>
          </cell>
          <cell r="AE24">
            <v>24</v>
          </cell>
          <cell r="AF24">
            <v>24</v>
          </cell>
          <cell r="AG24">
            <v>0</v>
          </cell>
          <cell r="AH24">
            <v>24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</row>
        <row r="26">
          <cell r="M26">
            <v>0.56777343749999998</v>
          </cell>
          <cell r="N26">
            <v>0.53457031249999998</v>
          </cell>
          <cell r="O26">
            <v>0.94346064814814812</v>
          </cell>
          <cell r="P26">
            <v>0.26710069444444445</v>
          </cell>
          <cell r="Q26">
            <v>0</v>
          </cell>
          <cell r="R26">
            <v>0.60023871527777772</v>
          </cell>
          <cell r="S26">
            <v>0</v>
          </cell>
          <cell r="T26">
            <v>0.58917100694444446</v>
          </cell>
          <cell r="U26">
            <v>0.55510706018518519</v>
          </cell>
          <cell r="V26">
            <v>0.32637442129629629</v>
          </cell>
          <cell r="W26">
            <v>0.68250868055555558</v>
          </cell>
          <cell r="X26">
            <v>0.72395109953703707</v>
          </cell>
          <cell r="Y26">
            <v>0.6816478587962963</v>
          </cell>
          <cell r="Z26">
            <v>0</v>
          </cell>
          <cell r="AA26">
            <v>0.57921006944444442</v>
          </cell>
          <cell r="AB26">
            <v>0.72665653935185182</v>
          </cell>
          <cell r="AC26">
            <v>0.7348958333333333</v>
          </cell>
          <cell r="AD26">
            <v>0.67586805555555551</v>
          </cell>
          <cell r="AE26">
            <v>0.77117332175925923</v>
          </cell>
          <cell r="AF26">
            <v>0.61929976851851853</v>
          </cell>
          <cell r="AG26">
            <v>0</v>
          </cell>
          <cell r="AH26">
            <v>0.78669270833333338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</row>
        <row r="27">
          <cell r="M27">
            <v>0.56777343749999998</v>
          </cell>
          <cell r="N27">
            <v>0.53457031249999998</v>
          </cell>
          <cell r="O27">
            <v>0.94346064814814368</v>
          </cell>
          <cell r="P27">
            <v>0.26710069444444445</v>
          </cell>
          <cell r="Q27" t="e">
            <v>#DIV/0!</v>
          </cell>
          <cell r="R27">
            <v>0.60023871527777783</v>
          </cell>
          <cell r="S27" t="e">
            <v>#DIV/0!</v>
          </cell>
          <cell r="T27">
            <v>0.58917100694444446</v>
          </cell>
          <cell r="U27">
            <v>0.55510706018518519</v>
          </cell>
          <cell r="V27">
            <v>0.32637442129629629</v>
          </cell>
          <cell r="W27">
            <v>0.68250868055555547</v>
          </cell>
          <cell r="X27">
            <v>0.72395109953703696</v>
          </cell>
          <cell r="Y27">
            <v>0.6816478587962963</v>
          </cell>
          <cell r="Z27" t="e">
            <v>#DIV/0!</v>
          </cell>
          <cell r="AA27">
            <v>0.57921006944444442</v>
          </cell>
          <cell r="AB27">
            <v>0.72665653935185182</v>
          </cell>
          <cell r="AC27">
            <v>0.7348958333333333</v>
          </cell>
          <cell r="AD27">
            <v>0.67586805555555562</v>
          </cell>
          <cell r="AE27">
            <v>0.77117332175925923</v>
          </cell>
          <cell r="AF27">
            <v>0.61929976851851853</v>
          </cell>
          <cell r="AG27" t="e">
            <v>#DIV/0!</v>
          </cell>
          <cell r="AH27">
            <v>0.65557725694444446</v>
          </cell>
          <cell r="AI27" t="e">
            <v>#DIV/0!</v>
          </cell>
          <cell r="AJ27" t="e">
            <v>#DIV/0!</v>
          </cell>
          <cell r="AK27" t="e">
            <v>#DIV/0!</v>
          </cell>
          <cell r="AL27" t="e">
            <v>#DIV/0!</v>
          </cell>
          <cell r="AM27" t="e">
            <v>#DIV/0!</v>
          </cell>
          <cell r="AN27" t="e">
            <v>#DIV/0!</v>
          </cell>
          <cell r="AO27" t="e">
            <v>#DIV/0!</v>
          </cell>
          <cell r="AP27" t="e">
            <v>#DIV/0!</v>
          </cell>
          <cell r="AQ27" t="e">
            <v>#DIV/0!</v>
          </cell>
          <cell r="AR27" t="e">
            <v>#DIV/0!</v>
          </cell>
          <cell r="AS27" t="e">
            <v>#DIV/0!</v>
          </cell>
          <cell r="AT27" t="e">
            <v>#DIV/0!</v>
          </cell>
          <cell r="AU27" t="e">
            <v>#DIV/0!</v>
          </cell>
        </row>
        <row r="41">
          <cell r="M41">
            <v>0.57544531805259447</v>
          </cell>
          <cell r="N41">
            <v>0.57544531805259425</v>
          </cell>
          <cell r="T41">
            <v>0.58028846153846159</v>
          </cell>
          <cell r="U41">
            <v>0.58028846153846159</v>
          </cell>
          <cell r="AA41">
            <v>0.62342777777777825</v>
          </cell>
          <cell r="AB41">
            <v>0.6639273458762277</v>
          </cell>
          <cell r="AH41">
            <v>0.51283456307870368</v>
          </cell>
          <cell r="AI41">
            <v>0.65208103384841798</v>
          </cell>
          <cell r="AO41">
            <v>0</v>
          </cell>
          <cell r="AP41" t="e">
            <v>#DIV/0!</v>
          </cell>
        </row>
        <row r="42">
          <cell r="M42">
            <v>79.5</v>
          </cell>
          <cell r="N42">
            <v>87.5</v>
          </cell>
          <cell r="O42">
            <v>78.000000000000028</v>
          </cell>
          <cell r="P42">
            <v>80</v>
          </cell>
          <cell r="Q42">
            <v>59.999999999999901</v>
          </cell>
          <cell r="R42">
            <v>83.999999999999901</v>
          </cell>
          <cell r="S42">
            <v>0</v>
          </cell>
          <cell r="T42">
            <v>96</v>
          </cell>
          <cell r="U42">
            <v>96</v>
          </cell>
          <cell r="V42">
            <v>96</v>
          </cell>
          <cell r="W42">
            <v>96</v>
          </cell>
          <cell r="X42">
            <v>79</v>
          </cell>
          <cell r="Y42">
            <v>96</v>
          </cell>
          <cell r="Z42">
            <v>0</v>
          </cell>
          <cell r="AA42">
            <v>83.999999999999901</v>
          </cell>
          <cell r="AB42">
            <v>83.999999999999901</v>
          </cell>
          <cell r="AC42">
            <v>83.999999999999901</v>
          </cell>
          <cell r="AD42">
            <v>83.999999999999901</v>
          </cell>
          <cell r="AE42">
            <v>83.999999999999901</v>
          </cell>
          <cell r="AF42">
            <v>80.000000000000171</v>
          </cell>
          <cell r="AG42">
            <v>0</v>
          </cell>
          <cell r="AH42">
            <v>96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</row>
        <row r="44">
          <cell r="M44">
            <v>0.55289351851851853</v>
          </cell>
          <cell r="N44">
            <v>0.56717261904761906</v>
          </cell>
          <cell r="O44">
            <v>0.63091613247863243</v>
          </cell>
          <cell r="P44">
            <v>0.56821614583333324</v>
          </cell>
          <cell r="Q44">
            <v>0.58742476851851855</v>
          </cell>
          <cell r="R44">
            <v>0.55222594246031753</v>
          </cell>
          <cell r="S44">
            <v>0</v>
          </cell>
          <cell r="T44">
            <v>0.53955078125</v>
          </cell>
          <cell r="U44">
            <v>0.62295826099537033</v>
          </cell>
          <cell r="V44">
            <v>0.49521846064814812</v>
          </cell>
          <cell r="W44">
            <v>0.56611328124999993</v>
          </cell>
          <cell r="X44">
            <v>0.63761207805907172</v>
          </cell>
          <cell r="Y44">
            <v>0.63042896412037031</v>
          </cell>
          <cell r="Z44">
            <v>0</v>
          </cell>
          <cell r="AA44">
            <v>0.54550576519916139</v>
          </cell>
          <cell r="AB44">
            <v>0.73881245632424875</v>
          </cell>
          <cell r="AC44">
            <v>0.72663565688329845</v>
          </cell>
          <cell r="AD44">
            <v>0.69570794753086418</v>
          </cell>
          <cell r="AE44">
            <v>0.63891072676450034</v>
          </cell>
          <cell r="AF44">
            <v>0.64098969252271143</v>
          </cell>
          <cell r="AG44">
            <v>0</v>
          </cell>
          <cell r="AH44">
            <v>0.65208103384841798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</row>
        <row r="45">
          <cell r="M45">
            <v>0.55289351851851853</v>
          </cell>
          <cell r="N45">
            <v>0.56717261904761906</v>
          </cell>
          <cell r="O45">
            <v>0.63091613247863221</v>
          </cell>
          <cell r="P45">
            <v>0.56821614583333335</v>
          </cell>
          <cell r="Q45">
            <v>0.58742476851851955</v>
          </cell>
          <cell r="R45">
            <v>0.5522259424603182</v>
          </cell>
          <cell r="S45" t="e">
            <v>#DIV/0!</v>
          </cell>
          <cell r="T45">
            <v>0.53955078125</v>
          </cell>
          <cell r="U45">
            <v>0.62295826099537044</v>
          </cell>
          <cell r="V45">
            <v>0.49521846064814817</v>
          </cell>
          <cell r="W45">
            <v>0.56611328124999993</v>
          </cell>
          <cell r="X45">
            <v>0.63761207805907172</v>
          </cell>
          <cell r="Y45">
            <v>0.63042896412037031</v>
          </cell>
          <cell r="Z45" t="e">
            <v>#DIV/0!</v>
          </cell>
          <cell r="AA45">
            <v>0.51628224206349271</v>
          </cell>
          <cell r="AB45">
            <v>0.69923321759259338</v>
          </cell>
          <cell r="AC45">
            <v>0.68770874669312254</v>
          </cell>
          <cell r="AD45">
            <v>0.59632109788359855</v>
          </cell>
          <cell r="AE45">
            <v>0.60468336640211717</v>
          </cell>
          <cell r="AF45">
            <v>0.63698350694444306</v>
          </cell>
          <cell r="AG45" t="e">
            <v>#DIV/0!</v>
          </cell>
          <cell r="AH45">
            <v>0.51283456307870368</v>
          </cell>
          <cell r="AI45" t="e">
            <v>#DIV/0!</v>
          </cell>
          <cell r="AJ45" t="e">
            <v>#DIV/0!</v>
          </cell>
          <cell r="AK45" t="e">
            <v>#DIV/0!</v>
          </cell>
          <cell r="AL45" t="e">
            <v>#DIV/0!</v>
          </cell>
          <cell r="AM45" t="e">
            <v>#DIV/0!</v>
          </cell>
          <cell r="AN45" t="e">
            <v>#DIV/0!</v>
          </cell>
          <cell r="AO45" t="e">
            <v>#DIV/0!</v>
          </cell>
          <cell r="AP45" t="e">
            <v>#DIV/0!</v>
          </cell>
          <cell r="AQ45" t="e">
            <v>#DIV/0!</v>
          </cell>
          <cell r="AR45" t="e">
            <v>#DIV/0!</v>
          </cell>
          <cell r="AS45" t="e">
            <v>#DIV/0!</v>
          </cell>
          <cell r="AT45" t="e">
            <v>#DIV/0!</v>
          </cell>
          <cell r="AU45" t="e">
            <v>#DIV/0!</v>
          </cell>
        </row>
        <row r="48">
          <cell r="M48">
            <v>0.49492619926199261</v>
          </cell>
          <cell r="N48">
            <v>0.49492619926199261</v>
          </cell>
          <cell r="T48">
            <v>0.6645330112721417</v>
          </cell>
          <cell r="U48">
            <v>0.6645330112721417</v>
          </cell>
          <cell r="AA48">
            <v>0.63853013530135294</v>
          </cell>
          <cell r="AB48">
            <v>0.63853013530135305</v>
          </cell>
          <cell r="AH48">
            <v>0.72638888888888886</v>
          </cell>
          <cell r="AI48">
            <v>0.72638888888888886</v>
          </cell>
          <cell r="AO48">
            <v>0</v>
          </cell>
          <cell r="AP48" t="e">
            <v>#DIV/0!</v>
          </cell>
        </row>
        <row r="49">
          <cell r="M49">
            <v>24</v>
          </cell>
          <cell r="N49">
            <v>24</v>
          </cell>
          <cell r="O49">
            <v>24</v>
          </cell>
          <cell r="P49">
            <v>24</v>
          </cell>
          <cell r="Q49">
            <v>24</v>
          </cell>
          <cell r="R49">
            <v>15.5</v>
          </cell>
          <cell r="S49">
            <v>0</v>
          </cell>
          <cell r="T49">
            <v>0</v>
          </cell>
          <cell r="U49">
            <v>16</v>
          </cell>
          <cell r="V49">
            <v>24</v>
          </cell>
          <cell r="W49">
            <v>24</v>
          </cell>
          <cell r="X49">
            <v>24</v>
          </cell>
          <cell r="Y49">
            <v>15.5</v>
          </cell>
          <cell r="Z49">
            <v>0</v>
          </cell>
          <cell r="AA49">
            <v>24</v>
          </cell>
          <cell r="AB49">
            <v>24</v>
          </cell>
          <cell r="AC49">
            <v>24</v>
          </cell>
          <cell r="AD49">
            <v>24</v>
          </cell>
          <cell r="AE49">
            <v>24</v>
          </cell>
          <cell r="AF49">
            <v>15.5</v>
          </cell>
          <cell r="AG49">
            <v>0</v>
          </cell>
          <cell r="AH49">
            <v>24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</row>
        <row r="50"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</row>
        <row r="51">
          <cell r="M51">
            <v>0.44027777777777777</v>
          </cell>
          <cell r="N51">
            <v>0.46371527777777777</v>
          </cell>
          <cell r="O51">
            <v>0.38229166666666664</v>
          </cell>
          <cell r="P51">
            <v>0.49288194444444444</v>
          </cell>
          <cell r="Q51">
            <v>0.50798611111111114</v>
          </cell>
          <cell r="R51">
            <v>0.78521505376344081</v>
          </cell>
          <cell r="S51">
            <v>0</v>
          </cell>
          <cell r="T51">
            <v>0</v>
          </cell>
          <cell r="U51">
            <v>0.60338541666666667</v>
          </cell>
          <cell r="V51">
            <v>0.75572916666666667</v>
          </cell>
          <cell r="W51">
            <v>0.73923611111111109</v>
          </cell>
          <cell r="X51">
            <v>0.453125</v>
          </cell>
          <cell r="Y51">
            <v>0.79811827956989245</v>
          </cell>
          <cell r="Z51">
            <v>0</v>
          </cell>
          <cell r="AA51">
            <v>0.60642361111111109</v>
          </cell>
          <cell r="AB51">
            <v>0.66788194444444449</v>
          </cell>
          <cell r="AC51">
            <v>0.6664930555555556</v>
          </cell>
          <cell r="AD51">
            <v>0.79045138888888888</v>
          </cell>
          <cell r="AE51">
            <v>0.58732638888888888</v>
          </cell>
          <cell r="AF51">
            <v>0.44354838709677419</v>
          </cell>
          <cell r="AG51">
            <v>0</v>
          </cell>
          <cell r="AH51">
            <v>0.72638888888888886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M52">
            <v>0.44027777777777777</v>
          </cell>
          <cell r="N52">
            <v>0.46371527777777777</v>
          </cell>
          <cell r="O52">
            <v>0.3822916666666667</v>
          </cell>
          <cell r="P52">
            <v>0.4928819444444445</v>
          </cell>
          <cell r="Q52">
            <v>0.50798611111111114</v>
          </cell>
          <cell r="R52">
            <v>0.78521505376344081</v>
          </cell>
          <cell r="S52" t="e">
            <v>#DIV/0!</v>
          </cell>
          <cell r="T52" t="e">
            <v>#DIV/0!</v>
          </cell>
          <cell r="U52">
            <v>0.60338541666666667</v>
          </cell>
          <cell r="V52">
            <v>0.75572916666666667</v>
          </cell>
          <cell r="W52">
            <v>0.73923611111111109</v>
          </cell>
          <cell r="X52">
            <v>0.453125</v>
          </cell>
          <cell r="Y52">
            <v>0.79811827956989245</v>
          </cell>
          <cell r="Z52" t="e">
            <v>#DIV/0!</v>
          </cell>
          <cell r="AA52">
            <v>0.60642361111111109</v>
          </cell>
          <cell r="AB52">
            <v>0.66788194444444438</v>
          </cell>
          <cell r="AC52">
            <v>0.6664930555555556</v>
          </cell>
          <cell r="AD52">
            <v>0.79045138888888899</v>
          </cell>
          <cell r="AE52">
            <v>0.58732638888888888</v>
          </cell>
          <cell r="AF52">
            <v>0.44354838709677419</v>
          </cell>
          <cell r="AG52" t="e">
            <v>#DIV/0!</v>
          </cell>
          <cell r="AH52">
            <v>0.72638888888888886</v>
          </cell>
          <cell r="AI52" t="e">
            <v>#DIV/0!</v>
          </cell>
          <cell r="AJ52" t="e">
            <v>#DIV/0!</v>
          </cell>
          <cell r="AK52" t="e">
            <v>#DIV/0!</v>
          </cell>
          <cell r="AL52" t="e">
            <v>#DIV/0!</v>
          </cell>
          <cell r="AM52" t="e">
            <v>#DIV/0!</v>
          </cell>
          <cell r="AN52" t="e">
            <v>#DIV/0!</v>
          </cell>
          <cell r="AO52" t="e">
            <v>#DIV/0!</v>
          </cell>
          <cell r="AP52" t="e">
            <v>#DIV/0!</v>
          </cell>
          <cell r="AQ52" t="e">
            <v>#DIV/0!</v>
          </cell>
          <cell r="AR52" t="e">
            <v>#DIV/0!</v>
          </cell>
          <cell r="AS52" t="e">
            <v>#DIV/0!</v>
          </cell>
          <cell r="AT52" t="e">
            <v>#DIV/0!</v>
          </cell>
          <cell r="AU52" t="e">
            <v>#DIV/0!</v>
          </cell>
        </row>
        <row r="54">
          <cell r="M54">
            <v>0.72847478474784744</v>
          </cell>
          <cell r="N54">
            <v>0.72847478474784744</v>
          </cell>
          <cell r="T54">
            <v>0.59670138888888891</v>
          </cell>
          <cell r="U54">
            <v>0.59670138888888891</v>
          </cell>
          <cell r="AA54">
            <v>0.64483394833948338</v>
          </cell>
          <cell r="AB54">
            <v>0.64483394833948338</v>
          </cell>
          <cell r="AH54">
            <v>0.64322916666666663</v>
          </cell>
          <cell r="AI54">
            <v>0.64322916666666663</v>
          </cell>
          <cell r="AO54">
            <v>0</v>
          </cell>
          <cell r="AP54" t="e">
            <v>#DIV/0!</v>
          </cell>
        </row>
        <row r="55">
          <cell r="M55">
            <v>24</v>
          </cell>
          <cell r="N55">
            <v>24</v>
          </cell>
          <cell r="O55">
            <v>24</v>
          </cell>
          <cell r="P55">
            <v>24</v>
          </cell>
          <cell r="Q55">
            <v>24</v>
          </cell>
          <cell r="R55">
            <v>15.5</v>
          </cell>
          <cell r="S55">
            <v>0</v>
          </cell>
          <cell r="T55">
            <v>24</v>
          </cell>
          <cell r="U55">
            <v>24</v>
          </cell>
          <cell r="V55">
            <v>8.5</v>
          </cell>
          <cell r="W55">
            <v>24</v>
          </cell>
          <cell r="X55">
            <v>24</v>
          </cell>
          <cell r="Y55">
            <v>15.5</v>
          </cell>
          <cell r="Z55">
            <v>0</v>
          </cell>
          <cell r="AA55">
            <v>24</v>
          </cell>
          <cell r="AB55">
            <v>24</v>
          </cell>
          <cell r="AC55">
            <v>24</v>
          </cell>
          <cell r="AD55">
            <v>24</v>
          </cell>
          <cell r="AE55">
            <v>24</v>
          </cell>
          <cell r="AF55">
            <v>15.5</v>
          </cell>
          <cell r="AG55">
            <v>0</v>
          </cell>
          <cell r="AH55">
            <v>24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</row>
        <row r="56"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</row>
        <row r="57">
          <cell r="M57">
            <v>0.81041666666666667</v>
          </cell>
          <cell r="N57">
            <v>0.68402777777777779</v>
          </cell>
          <cell r="O57">
            <v>0.69114583333333335</v>
          </cell>
          <cell r="P57">
            <v>0.78055555555555556</v>
          </cell>
          <cell r="Q57">
            <v>0.69409722222222225</v>
          </cell>
          <cell r="R57">
            <v>0.70080645161290323</v>
          </cell>
          <cell r="S57">
            <v>0</v>
          </cell>
          <cell r="T57">
            <v>0.57743055555555556</v>
          </cell>
          <cell r="U57">
            <v>0.74704861111111109</v>
          </cell>
          <cell r="V57">
            <v>0.27303921568627448</v>
          </cell>
          <cell r="W57">
            <v>0.55190972222222223</v>
          </cell>
          <cell r="X57">
            <v>0.61024305555555558</v>
          </cell>
          <cell r="Y57">
            <v>0.6196236559139785</v>
          </cell>
          <cell r="Z57">
            <v>0</v>
          </cell>
          <cell r="AA57">
            <v>0.58159722222222221</v>
          </cell>
          <cell r="AB57">
            <v>0.55954861111111109</v>
          </cell>
          <cell r="AC57">
            <v>0.62847222222222221</v>
          </cell>
          <cell r="AD57">
            <v>0.66840277777777779</v>
          </cell>
          <cell r="AE57">
            <v>0.71388888888888891</v>
          </cell>
          <cell r="AF57">
            <v>0.75672043010752688</v>
          </cell>
          <cell r="AG57">
            <v>0</v>
          </cell>
          <cell r="AH57">
            <v>0.64322916666666663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</row>
        <row r="58">
          <cell r="M58">
            <v>0.81041666666666667</v>
          </cell>
          <cell r="N58">
            <v>0.68402777777777779</v>
          </cell>
          <cell r="O58">
            <v>0.69114583333333324</v>
          </cell>
          <cell r="P58">
            <v>0.78055555555555556</v>
          </cell>
          <cell r="Q58">
            <v>0.69409722222222225</v>
          </cell>
          <cell r="R58">
            <v>0.70080645161290323</v>
          </cell>
          <cell r="S58" t="e">
            <v>#DIV/0!</v>
          </cell>
          <cell r="T58">
            <v>0.57743055555555556</v>
          </cell>
          <cell r="U58">
            <v>0.74704861111111109</v>
          </cell>
          <cell r="V58">
            <v>0.27303921568627448</v>
          </cell>
          <cell r="W58">
            <v>0.55190972222222223</v>
          </cell>
          <cell r="X58">
            <v>0.61024305555555558</v>
          </cell>
          <cell r="Y58">
            <v>0.6196236559139785</v>
          </cell>
          <cell r="Z58" t="e">
            <v>#DIV/0!</v>
          </cell>
          <cell r="AA58">
            <v>0.58159722222222221</v>
          </cell>
          <cell r="AB58">
            <v>0.55954861111111109</v>
          </cell>
          <cell r="AC58">
            <v>0.62847222222222221</v>
          </cell>
          <cell r="AD58">
            <v>0.66840277777777779</v>
          </cell>
          <cell r="AE58">
            <v>0.71388888888888891</v>
          </cell>
          <cell r="AF58">
            <v>0.75672043010752688</v>
          </cell>
          <cell r="AG58" t="e">
            <v>#DIV/0!</v>
          </cell>
          <cell r="AH58">
            <v>0.64322916666666663</v>
          </cell>
          <cell r="AI58" t="e">
            <v>#DIV/0!</v>
          </cell>
          <cell r="AJ58" t="e">
            <v>#DIV/0!</v>
          </cell>
          <cell r="AK58" t="e">
            <v>#DIV/0!</v>
          </cell>
          <cell r="AL58" t="e">
            <v>#DIV/0!</v>
          </cell>
          <cell r="AM58" t="e">
            <v>#DIV/0!</v>
          </cell>
          <cell r="AN58" t="e">
            <v>#DIV/0!</v>
          </cell>
          <cell r="AO58" t="e">
            <v>#DIV/0!</v>
          </cell>
          <cell r="AP58" t="e">
            <v>#DIV/0!</v>
          </cell>
          <cell r="AQ58" t="e">
            <v>#DIV/0!</v>
          </cell>
          <cell r="AR58" t="e">
            <v>#DIV/0!</v>
          </cell>
          <cell r="AS58" t="e">
            <v>#DIV/0!</v>
          </cell>
          <cell r="AT58" t="e">
            <v>#DIV/0!</v>
          </cell>
          <cell r="AU58" t="e">
            <v>#DIV/0!</v>
          </cell>
        </row>
        <row r="60">
          <cell r="M60">
            <v>0.78711562115621159</v>
          </cell>
          <cell r="N60">
            <v>0.64720172201722015</v>
          </cell>
          <cell r="T60">
            <v>0.80984009840098403</v>
          </cell>
          <cell r="U60">
            <v>0.59839312406576983</v>
          </cell>
          <cell r="AA60">
            <v>0.71856780735107684</v>
          </cell>
          <cell r="AB60">
            <v>0.6160553410553411</v>
          </cell>
          <cell r="AH60">
            <v>0.66545138888888888</v>
          </cell>
          <cell r="AI60">
            <v>0.54947916666666663</v>
          </cell>
          <cell r="AO60">
            <v>0</v>
          </cell>
          <cell r="AP60" t="e">
            <v>#DIV/0!</v>
          </cell>
        </row>
        <row r="61">
          <cell r="M61">
            <v>24</v>
          </cell>
          <cell r="N61">
            <v>24</v>
          </cell>
          <cell r="O61">
            <v>24</v>
          </cell>
          <cell r="P61">
            <v>24</v>
          </cell>
          <cell r="Q61">
            <v>24</v>
          </cell>
          <cell r="R61">
            <v>15.5</v>
          </cell>
          <cell r="S61">
            <v>0</v>
          </cell>
          <cell r="T61">
            <v>24</v>
          </cell>
          <cell r="U61">
            <v>24</v>
          </cell>
          <cell r="V61">
            <v>24</v>
          </cell>
          <cell r="W61">
            <v>24</v>
          </cell>
          <cell r="X61">
            <v>24</v>
          </cell>
          <cell r="Y61">
            <v>15.5</v>
          </cell>
          <cell r="Z61">
            <v>0</v>
          </cell>
          <cell r="AA61">
            <v>24</v>
          </cell>
          <cell r="AB61">
            <v>24</v>
          </cell>
          <cell r="AC61">
            <v>24</v>
          </cell>
          <cell r="AD61">
            <v>24</v>
          </cell>
          <cell r="AE61">
            <v>20.000000000000085</v>
          </cell>
          <cell r="AF61">
            <v>15.5</v>
          </cell>
          <cell r="AG61">
            <v>0</v>
          </cell>
          <cell r="AH61">
            <v>24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</row>
        <row r="62"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</row>
        <row r="63">
          <cell r="M63">
            <v>0.80277777777777781</v>
          </cell>
          <cell r="N63">
            <v>0.76111111111111107</v>
          </cell>
          <cell r="O63">
            <v>0.71562499999999996</v>
          </cell>
          <cell r="P63">
            <v>0.82204861111111116</v>
          </cell>
          <cell r="Q63">
            <v>0.79756944444444444</v>
          </cell>
          <cell r="R63">
            <v>0.84354838709677415</v>
          </cell>
          <cell r="S63">
            <v>0</v>
          </cell>
          <cell r="T63">
            <v>0.70833333333333337</v>
          </cell>
          <cell r="U63">
            <v>0.81267361111111114</v>
          </cell>
          <cell r="V63">
            <v>0.85972222222222228</v>
          </cell>
          <cell r="W63">
            <v>0.93732638888888886</v>
          </cell>
          <cell r="X63">
            <v>0.81267361111111114</v>
          </cell>
          <cell r="Y63">
            <v>0.6836021505376344</v>
          </cell>
          <cell r="Z63">
            <v>0</v>
          </cell>
          <cell r="AA63">
            <v>0.73732638888888891</v>
          </cell>
          <cell r="AB63">
            <v>0.65156250000000004</v>
          </cell>
          <cell r="AC63">
            <v>0.53315972222222219</v>
          </cell>
          <cell r="AD63">
            <v>0.8383680555555556</v>
          </cell>
          <cell r="AE63">
            <v>0.82374999999999998</v>
          </cell>
          <cell r="AF63">
            <v>0.75913978494623657</v>
          </cell>
          <cell r="AG63">
            <v>0</v>
          </cell>
          <cell r="AH63">
            <v>0.66545138888888888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</row>
        <row r="64">
          <cell r="M64">
            <v>0.8027777777777777</v>
          </cell>
          <cell r="N64">
            <v>0.76111111111111107</v>
          </cell>
          <cell r="O64">
            <v>0.71562500000000007</v>
          </cell>
          <cell r="P64">
            <v>0.82204861111111116</v>
          </cell>
          <cell r="Q64">
            <v>0.79756944444444444</v>
          </cell>
          <cell r="R64">
            <v>0.84354838709677415</v>
          </cell>
          <cell r="S64" t="e">
            <v>#DIV/0!</v>
          </cell>
          <cell r="T64">
            <v>0.70833333333333337</v>
          </cell>
          <cell r="U64">
            <v>0.81267361111111114</v>
          </cell>
          <cell r="V64">
            <v>0.85972222222222217</v>
          </cell>
          <cell r="W64">
            <v>0.93732638888888886</v>
          </cell>
          <cell r="X64">
            <v>0.81267361111111114</v>
          </cell>
          <cell r="Y64">
            <v>0.6836021505376344</v>
          </cell>
          <cell r="Z64" t="e">
            <v>#DIV/0!</v>
          </cell>
          <cell r="AA64">
            <v>0.73732638888888891</v>
          </cell>
          <cell r="AB64">
            <v>0.65156249999999993</v>
          </cell>
          <cell r="AC64">
            <v>0.53315972222222219</v>
          </cell>
          <cell r="AD64">
            <v>0.8383680555555556</v>
          </cell>
          <cell r="AE64">
            <v>0.82374999999999654</v>
          </cell>
          <cell r="AF64">
            <v>0.75913978494623657</v>
          </cell>
          <cell r="AG64" t="e">
            <v>#DIV/0!</v>
          </cell>
          <cell r="AH64">
            <v>0.66545138888888888</v>
          </cell>
          <cell r="AI64" t="e">
            <v>#DIV/0!</v>
          </cell>
          <cell r="AJ64" t="e">
            <v>#DIV/0!</v>
          </cell>
          <cell r="AK64" t="e">
            <v>#DIV/0!</v>
          </cell>
          <cell r="AL64" t="e">
            <v>#DIV/0!</v>
          </cell>
          <cell r="AM64" t="e">
            <v>#DIV/0!</v>
          </cell>
          <cell r="AN64" t="e">
            <v>#DIV/0!</v>
          </cell>
          <cell r="AO64" t="e">
            <v>#DIV/0!</v>
          </cell>
          <cell r="AP64" t="e">
            <v>#DIV/0!</v>
          </cell>
          <cell r="AQ64" t="e">
            <v>#DIV/0!</v>
          </cell>
          <cell r="AR64" t="e">
            <v>#DIV/0!</v>
          </cell>
          <cell r="AS64" t="e">
            <v>#DIV/0!</v>
          </cell>
          <cell r="AT64" t="e">
            <v>#DIV/0!</v>
          </cell>
          <cell r="AU64" t="e">
            <v>#DIV/0!</v>
          </cell>
        </row>
        <row r="66">
          <cell r="M66">
            <v>0.64720172201722026</v>
          </cell>
          <cell r="N66">
            <v>0.64720172201722015</v>
          </cell>
          <cell r="T66">
            <v>0.59839312406576983</v>
          </cell>
          <cell r="U66">
            <v>0.59839312406576983</v>
          </cell>
          <cell r="AA66">
            <v>0.61605534105534054</v>
          </cell>
          <cell r="AB66">
            <v>0.6160553410553411</v>
          </cell>
          <cell r="AH66">
            <v>0.54947916666666663</v>
          </cell>
          <cell r="AI66">
            <v>0.54947916666666663</v>
          </cell>
          <cell r="AO66">
            <v>0</v>
          </cell>
          <cell r="AP66" t="e">
            <v>#DIV/0!</v>
          </cell>
        </row>
        <row r="67">
          <cell r="M67">
            <v>24</v>
          </cell>
          <cell r="N67">
            <v>24</v>
          </cell>
          <cell r="O67">
            <v>24</v>
          </cell>
          <cell r="P67">
            <v>24</v>
          </cell>
          <cell r="Q67">
            <v>24</v>
          </cell>
          <cell r="R67">
            <v>15.5</v>
          </cell>
          <cell r="S67">
            <v>0</v>
          </cell>
          <cell r="T67">
            <v>24</v>
          </cell>
          <cell r="U67">
            <v>24</v>
          </cell>
          <cell r="V67">
            <v>24</v>
          </cell>
          <cell r="W67">
            <v>24</v>
          </cell>
          <cell r="X67">
            <v>0</v>
          </cell>
          <cell r="Y67">
            <v>15.5</v>
          </cell>
          <cell r="Z67">
            <v>0</v>
          </cell>
          <cell r="AA67">
            <v>18.000000000000128</v>
          </cell>
          <cell r="AB67">
            <v>24</v>
          </cell>
          <cell r="AC67">
            <v>24</v>
          </cell>
          <cell r="AD67">
            <v>24</v>
          </cell>
          <cell r="AE67">
            <v>24</v>
          </cell>
          <cell r="AF67">
            <v>15.5</v>
          </cell>
          <cell r="AG67">
            <v>0</v>
          </cell>
          <cell r="AH67">
            <v>24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</row>
        <row r="68"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M69">
            <v>0.61822916666666672</v>
          </cell>
          <cell r="N69">
            <v>0.6796875</v>
          </cell>
          <cell r="O69">
            <v>0.69218749999999996</v>
          </cell>
          <cell r="P69">
            <v>0.50798611111111114</v>
          </cell>
          <cell r="Q69">
            <v>0.79878472222222219</v>
          </cell>
          <cell r="R69">
            <v>0.55295698924731185</v>
          </cell>
          <cell r="S69">
            <v>0</v>
          </cell>
          <cell r="T69">
            <v>0.62413194444444442</v>
          </cell>
          <cell r="U69">
            <v>0.53576388888888893</v>
          </cell>
          <cell r="V69">
            <v>0.64774305555555556</v>
          </cell>
          <cell r="W69">
            <v>0.68437499999999996</v>
          </cell>
          <cell r="X69">
            <v>0</v>
          </cell>
          <cell r="Y69">
            <v>0.44596774193548389</v>
          </cell>
          <cell r="Z69">
            <v>0</v>
          </cell>
          <cell r="AA69">
            <v>0.47175925925925927</v>
          </cell>
          <cell r="AB69">
            <v>0.67170138888888886</v>
          </cell>
          <cell r="AC69">
            <v>0.65069444444444446</v>
          </cell>
          <cell r="AD69">
            <v>0.56215277777777772</v>
          </cell>
          <cell r="AE69">
            <v>0.67534722222222221</v>
          </cell>
          <cell r="AF69">
            <v>0.63548387096774195</v>
          </cell>
          <cell r="AG69">
            <v>0</v>
          </cell>
          <cell r="AH69">
            <v>0.54947916666666663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</row>
        <row r="70">
          <cell r="M70">
            <v>0.61822916666666672</v>
          </cell>
          <cell r="N70">
            <v>0.6796875</v>
          </cell>
          <cell r="O70">
            <v>0.69218750000000007</v>
          </cell>
          <cell r="P70">
            <v>0.50798611111111114</v>
          </cell>
          <cell r="Q70">
            <v>0.7987847222222223</v>
          </cell>
          <cell r="R70">
            <v>0.55295698924731185</v>
          </cell>
          <cell r="S70" t="e">
            <v>#DIV/0!</v>
          </cell>
          <cell r="T70">
            <v>0.62413194444444442</v>
          </cell>
          <cell r="U70">
            <v>0.53576388888888882</v>
          </cell>
          <cell r="V70">
            <v>0.64774305555555556</v>
          </cell>
          <cell r="W70">
            <v>0.68437500000000007</v>
          </cell>
          <cell r="X70" t="e">
            <v>#DIV/0!</v>
          </cell>
          <cell r="Y70">
            <v>0.44596774193548383</v>
          </cell>
          <cell r="Z70" t="e">
            <v>#DIV/0!</v>
          </cell>
          <cell r="AA70">
            <v>0.47175925925925594</v>
          </cell>
          <cell r="AB70">
            <v>0.67170138888888886</v>
          </cell>
          <cell r="AC70">
            <v>0.65069444444444446</v>
          </cell>
          <cell r="AD70">
            <v>0.56215277777777783</v>
          </cell>
          <cell r="AE70">
            <v>0.67534722222222221</v>
          </cell>
          <cell r="AF70">
            <v>0.63548387096774195</v>
          </cell>
          <cell r="AG70" t="e">
            <v>#DIV/0!</v>
          </cell>
          <cell r="AH70">
            <v>0.54947916666666663</v>
          </cell>
          <cell r="AI70" t="e">
            <v>#DIV/0!</v>
          </cell>
          <cell r="AJ70" t="e">
            <v>#DIV/0!</v>
          </cell>
          <cell r="AK70" t="e">
            <v>#DIV/0!</v>
          </cell>
          <cell r="AL70" t="e">
            <v>#DIV/0!</v>
          </cell>
          <cell r="AM70" t="e">
            <v>#DIV/0!</v>
          </cell>
          <cell r="AN70" t="e">
            <v>#DIV/0!</v>
          </cell>
          <cell r="AO70" t="e">
            <v>#DIV/0!</v>
          </cell>
          <cell r="AP70" t="e">
            <v>#DIV/0!</v>
          </cell>
          <cell r="AQ70" t="e">
            <v>#DIV/0!</v>
          </cell>
          <cell r="AR70" t="e">
            <v>#DIV/0!</v>
          </cell>
          <cell r="AS70" t="e">
            <v>#DIV/0!</v>
          </cell>
          <cell r="AT70" t="e">
            <v>#DIV/0!</v>
          </cell>
          <cell r="AU70" t="e">
            <v>#DIV/0!</v>
          </cell>
        </row>
        <row r="84">
          <cell r="M84">
            <v>0.66442958179581801</v>
          </cell>
          <cell r="N84">
            <v>0.6644295817958179</v>
          </cell>
          <cell r="T84">
            <v>0.67340595111583412</v>
          </cell>
          <cell r="U84">
            <v>0.67340595111583423</v>
          </cell>
          <cell r="AA84">
            <v>0.6544486215538845</v>
          </cell>
          <cell r="AB84">
            <v>0.65444862155388472</v>
          </cell>
          <cell r="AH84">
            <v>0.64613715277777783</v>
          </cell>
          <cell r="AI84">
            <v>0.64613715277777772</v>
          </cell>
          <cell r="AO84">
            <v>0</v>
          </cell>
          <cell r="AP84" t="e">
            <v>#DIV/0!</v>
          </cell>
        </row>
        <row r="85">
          <cell r="M85">
            <v>96</v>
          </cell>
          <cell r="N85">
            <v>96</v>
          </cell>
          <cell r="O85">
            <v>96</v>
          </cell>
          <cell r="P85">
            <v>96</v>
          </cell>
          <cell r="Q85">
            <v>96</v>
          </cell>
          <cell r="R85">
            <v>62</v>
          </cell>
          <cell r="S85">
            <v>0</v>
          </cell>
          <cell r="T85">
            <v>72</v>
          </cell>
          <cell r="U85">
            <v>88</v>
          </cell>
          <cell r="V85">
            <v>80.5</v>
          </cell>
          <cell r="W85">
            <v>96</v>
          </cell>
          <cell r="X85">
            <v>72</v>
          </cell>
          <cell r="Y85">
            <v>62</v>
          </cell>
          <cell r="Z85">
            <v>0</v>
          </cell>
          <cell r="AA85">
            <v>90.000000000000128</v>
          </cell>
          <cell r="AB85">
            <v>96</v>
          </cell>
          <cell r="AC85">
            <v>96</v>
          </cell>
          <cell r="AD85">
            <v>96</v>
          </cell>
          <cell r="AE85">
            <v>92.000000000000085</v>
          </cell>
          <cell r="AF85">
            <v>62</v>
          </cell>
          <cell r="AG85">
            <v>0</v>
          </cell>
          <cell r="AH85">
            <v>96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</row>
        <row r="86"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</row>
        <row r="87">
          <cell r="M87">
            <v>0.76966145833333333</v>
          </cell>
          <cell r="N87">
            <v>0.69331597222222219</v>
          </cell>
          <cell r="O87">
            <v>0.66006944444444449</v>
          </cell>
          <cell r="P87">
            <v>0.69934895833333333</v>
          </cell>
          <cell r="Q87">
            <v>0.75269097222222225</v>
          </cell>
          <cell r="R87">
            <v>0.76794354838709677</v>
          </cell>
          <cell r="S87" t="e">
            <v>#DIV/0!</v>
          </cell>
          <cell r="T87">
            <v>0.6855324074074074</v>
          </cell>
          <cell r="U87">
            <v>0.72935606060606062</v>
          </cell>
          <cell r="V87">
            <v>0.7548136645962733</v>
          </cell>
          <cell r="W87">
            <v>0.7690104166666667</v>
          </cell>
          <cell r="X87">
            <v>0.67575231481481479</v>
          </cell>
          <cell r="Y87">
            <v>0.67271505376344087</v>
          </cell>
          <cell r="Z87" t="e">
            <v>#DIV/0!</v>
          </cell>
          <cell r="AA87">
            <v>0.64861111111111114</v>
          </cell>
          <cell r="AB87">
            <v>0.68619791666666663</v>
          </cell>
          <cell r="AC87">
            <v>0.67200520833333333</v>
          </cell>
          <cell r="AD87">
            <v>0.75855034722222225</v>
          </cell>
          <cell r="AE87">
            <v>0.73795289855072466</v>
          </cell>
          <cell r="AF87">
            <v>0.69428763440860219</v>
          </cell>
          <cell r="AG87" t="e">
            <v>#DIV/0!</v>
          </cell>
          <cell r="AH87">
            <v>0.70243055555555556</v>
          </cell>
          <cell r="AI87" t="e">
            <v>#DIV/0!</v>
          </cell>
          <cell r="AJ87" t="e">
            <v>#DIV/0!</v>
          </cell>
          <cell r="AK87" t="e">
            <v>#DIV/0!</v>
          </cell>
          <cell r="AL87" t="e">
            <v>#DIV/0!</v>
          </cell>
          <cell r="AM87" t="e">
            <v>#DIV/0!</v>
          </cell>
          <cell r="AN87" t="e">
            <v>#DIV/0!</v>
          </cell>
          <cell r="AO87" t="e">
            <v>#DIV/0!</v>
          </cell>
          <cell r="AP87" t="e">
            <v>#DIV/0!</v>
          </cell>
          <cell r="AQ87" t="e">
            <v>#DIV/0!</v>
          </cell>
          <cell r="AR87" t="e">
            <v>#DIV/0!</v>
          </cell>
          <cell r="AS87" t="e">
            <v>#DIV/0!</v>
          </cell>
          <cell r="AT87" t="e">
            <v>#DIV/0!</v>
          </cell>
          <cell r="AU87" t="e">
            <v>#DIV/0!</v>
          </cell>
        </row>
        <row r="88">
          <cell r="M88">
            <v>0.6679253472222223</v>
          </cell>
          <cell r="N88">
            <v>0.64713541666666663</v>
          </cell>
          <cell r="O88">
            <v>0.62031249999999993</v>
          </cell>
          <cell r="P88">
            <v>0.6508680555555556</v>
          </cell>
          <cell r="Q88">
            <v>0.69960937499999998</v>
          </cell>
          <cell r="R88">
            <v>0.72063172043010748</v>
          </cell>
          <cell r="S88" t="e">
            <v>#DIV/0!</v>
          </cell>
          <cell r="T88">
            <v>0.63663194444444438</v>
          </cell>
          <cell r="U88">
            <v>0.68120265151515147</v>
          </cell>
          <cell r="V88">
            <v>0.70357142857142863</v>
          </cell>
          <cell r="W88">
            <v>0.72821180555555554</v>
          </cell>
          <cell r="X88">
            <v>0.62534722222222217</v>
          </cell>
          <cell r="Y88">
            <v>0.63682795698924732</v>
          </cell>
          <cell r="Z88" t="e">
            <v>#DIV/0!</v>
          </cell>
          <cell r="AA88">
            <v>0.60777777777777697</v>
          </cell>
          <cell r="AB88">
            <v>0.63767361111111109</v>
          </cell>
          <cell r="AC88">
            <v>0.61970486111111112</v>
          </cell>
          <cell r="AD88">
            <v>0.71484375</v>
          </cell>
          <cell r="AE88">
            <v>0.69470108695652111</v>
          </cell>
          <cell r="AF88">
            <v>0.64872311827956985</v>
          </cell>
          <cell r="AG88" t="e">
            <v>#DIV/0!</v>
          </cell>
          <cell r="AH88">
            <v>0.64613715277777783</v>
          </cell>
          <cell r="AI88" t="e">
            <v>#DIV/0!</v>
          </cell>
          <cell r="AJ88" t="e">
            <v>#DIV/0!</v>
          </cell>
          <cell r="AK88" t="e">
            <v>#DIV/0!</v>
          </cell>
          <cell r="AL88" t="e">
            <v>#DIV/0!</v>
          </cell>
          <cell r="AM88" t="e">
            <v>#DIV/0!</v>
          </cell>
          <cell r="AN88" t="e">
            <v>#DIV/0!</v>
          </cell>
          <cell r="AO88" t="e">
            <v>#DIV/0!</v>
          </cell>
          <cell r="AP88" t="e">
            <v>#DIV/0!</v>
          </cell>
          <cell r="AQ88" t="e">
            <v>#DIV/0!</v>
          </cell>
          <cell r="AR88" t="e">
            <v>#DIV/0!</v>
          </cell>
          <cell r="AS88" t="e">
            <v>#DIV/0!</v>
          </cell>
          <cell r="AT88" t="e">
            <v>#DIV/0!</v>
          </cell>
          <cell r="AU88" t="e">
            <v>#DIV/0!</v>
          </cell>
        </row>
        <row r="91">
          <cell r="M91">
            <v>10980</v>
          </cell>
          <cell r="N91">
            <v>-180</v>
          </cell>
          <cell r="O91">
            <v>1.6393442622950821E-2</v>
          </cell>
          <cell r="P91">
            <v>10800</v>
          </cell>
          <cell r="Q91">
            <v>0</v>
          </cell>
          <cell r="R91">
            <v>0</v>
          </cell>
          <cell r="S91">
            <v>0</v>
          </cell>
          <cell r="T91">
            <v>19699</v>
          </cell>
          <cell r="U91">
            <v>-466</v>
          </cell>
          <cell r="V91">
            <v>2.3656023148383165E-2</v>
          </cell>
          <cell r="W91">
            <v>19233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-141</v>
          </cell>
          <cell r="AC91">
            <v>0</v>
          </cell>
          <cell r="AD91">
            <v>-141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-25</v>
          </cell>
          <cell r="AJ91">
            <v>0</v>
          </cell>
          <cell r="AK91">
            <v>-25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</row>
        <row r="93">
          <cell r="M93">
            <v>0</v>
          </cell>
          <cell r="N93">
            <v>5489</v>
          </cell>
          <cell r="O93">
            <v>1104</v>
          </cell>
          <cell r="P93">
            <v>0</v>
          </cell>
          <cell r="Q93">
            <v>1119</v>
          </cell>
          <cell r="R93">
            <v>3268</v>
          </cell>
          <cell r="S93">
            <v>0</v>
          </cell>
          <cell r="T93">
            <v>5457</v>
          </cell>
          <cell r="U93">
            <v>5476</v>
          </cell>
          <cell r="V93">
            <v>6562</v>
          </cell>
          <cell r="W93">
            <v>2204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</row>
        <row r="94"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M95">
            <v>0</v>
          </cell>
          <cell r="N95">
            <v>89</v>
          </cell>
          <cell r="O95">
            <v>24</v>
          </cell>
          <cell r="P95">
            <v>39</v>
          </cell>
          <cell r="Q95">
            <v>28</v>
          </cell>
          <cell r="R95">
            <v>0</v>
          </cell>
          <cell r="S95">
            <v>0</v>
          </cell>
          <cell r="T95">
            <v>83</v>
          </cell>
          <cell r="U95">
            <v>120</v>
          </cell>
          <cell r="V95">
            <v>128</v>
          </cell>
          <cell r="W95">
            <v>135</v>
          </cell>
          <cell r="X95">
            <v>0</v>
          </cell>
          <cell r="Y95">
            <v>0</v>
          </cell>
          <cell r="Z95">
            <v>0</v>
          </cell>
          <cell r="AA95">
            <v>84</v>
          </cell>
          <cell r="AB95">
            <v>42</v>
          </cell>
          <cell r="AC95">
            <v>11</v>
          </cell>
          <cell r="AD95">
            <v>0</v>
          </cell>
          <cell r="AE95">
            <v>4</v>
          </cell>
          <cell r="AF95">
            <v>0</v>
          </cell>
          <cell r="AG95">
            <v>0</v>
          </cell>
          <cell r="AH95">
            <v>25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</row>
        <row r="96">
          <cell r="M96">
            <v>0</v>
          </cell>
          <cell r="N96">
            <v>1.621424667516852E-2</v>
          </cell>
          <cell r="O96">
            <v>2.1739130434782608E-2</v>
          </cell>
          <cell r="P96">
            <v>0</v>
          </cell>
          <cell r="Q96">
            <v>2.5022341376228777E-2</v>
          </cell>
          <cell r="R96">
            <v>0</v>
          </cell>
          <cell r="S96">
            <v>0</v>
          </cell>
          <cell r="T96">
            <v>1.5209822246655671E-2</v>
          </cell>
          <cell r="U96">
            <v>2.1913805697589481E-2</v>
          </cell>
          <cell r="V96">
            <v>1.9506248095092958E-2</v>
          </cell>
          <cell r="W96">
            <v>6.1252268602540835E-2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7">
          <cell r="M97">
            <v>54779</v>
          </cell>
          <cell r="N97">
            <v>-779</v>
          </cell>
          <cell r="O97">
            <v>1.4220778035378521E-2</v>
          </cell>
          <cell r="P97">
            <v>54000</v>
          </cell>
          <cell r="Q97">
            <v>0</v>
          </cell>
          <cell r="R97">
            <v>0</v>
          </cell>
          <cell r="S97">
            <v>0</v>
          </cell>
          <cell r="T97">
            <v>51301</v>
          </cell>
          <cell r="U97">
            <v>-1317</v>
          </cell>
          <cell r="V97">
            <v>2.5672014190756515E-2</v>
          </cell>
          <cell r="W97">
            <v>49984</v>
          </cell>
          <cell r="X97">
            <v>0</v>
          </cell>
          <cell r="Y97">
            <v>0</v>
          </cell>
          <cell r="Z97">
            <v>0</v>
          </cell>
          <cell r="AA97">
            <v>8787</v>
          </cell>
          <cell r="AB97">
            <v>-787</v>
          </cell>
          <cell r="AC97">
            <v>8.9564128826675776E-2</v>
          </cell>
          <cell r="AD97">
            <v>8000</v>
          </cell>
          <cell r="AE97">
            <v>0</v>
          </cell>
          <cell r="AF97">
            <v>0</v>
          </cell>
          <cell r="AG97">
            <v>0</v>
          </cell>
          <cell r="AH97">
            <v>14223</v>
          </cell>
          <cell r="AI97">
            <v>-336</v>
          </cell>
          <cell r="AJ97">
            <v>2.3623708078464457E-2</v>
          </cell>
          <cell r="AK97">
            <v>13887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</row>
        <row r="99">
          <cell r="M99">
            <v>17534</v>
          </cell>
          <cell r="N99">
            <v>6543</v>
          </cell>
          <cell r="O99">
            <v>14205</v>
          </cell>
          <cell r="P99">
            <v>5467</v>
          </cell>
          <cell r="Q99">
            <v>8834</v>
          </cell>
          <cell r="R99">
            <v>2196</v>
          </cell>
          <cell r="S99">
            <v>0</v>
          </cell>
          <cell r="T99">
            <v>6549</v>
          </cell>
          <cell r="U99">
            <v>5473</v>
          </cell>
          <cell r="V99">
            <v>5470</v>
          </cell>
          <cell r="W99">
            <v>9831</v>
          </cell>
          <cell r="X99">
            <v>14175</v>
          </cell>
          <cell r="Y99">
            <v>9803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8787</v>
          </cell>
          <cell r="AG99">
            <v>0</v>
          </cell>
          <cell r="AH99">
            <v>14223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</row>
        <row r="100"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</row>
        <row r="101">
          <cell r="M101">
            <v>254</v>
          </cell>
          <cell r="N101">
            <v>66</v>
          </cell>
          <cell r="O101">
            <v>163</v>
          </cell>
          <cell r="P101">
            <v>67</v>
          </cell>
          <cell r="Q101">
            <v>195</v>
          </cell>
          <cell r="R101">
            <v>34</v>
          </cell>
          <cell r="S101">
            <v>0</v>
          </cell>
          <cell r="T101">
            <v>259</v>
          </cell>
          <cell r="U101">
            <v>281</v>
          </cell>
          <cell r="V101">
            <v>205</v>
          </cell>
          <cell r="W101">
            <v>230</v>
          </cell>
          <cell r="X101">
            <v>233</v>
          </cell>
          <cell r="Y101">
            <v>109</v>
          </cell>
          <cell r="Z101">
            <v>0</v>
          </cell>
          <cell r="AA101">
            <v>81</v>
          </cell>
          <cell r="AB101">
            <v>107</v>
          </cell>
          <cell r="AC101">
            <v>110</v>
          </cell>
          <cell r="AD101">
            <v>74</v>
          </cell>
          <cell r="AE101">
            <v>158</v>
          </cell>
          <cell r="AF101">
            <v>221</v>
          </cell>
          <cell r="AG101">
            <v>36</v>
          </cell>
          <cell r="AH101">
            <v>336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</row>
        <row r="102">
          <cell r="M102">
            <v>1.4486141211360784E-2</v>
          </cell>
          <cell r="N102">
            <v>1.0087116001834021E-2</v>
          </cell>
          <cell r="O102">
            <v>1.1474832805350228E-2</v>
          </cell>
          <cell r="P102">
            <v>1.2255350283519298E-2</v>
          </cell>
          <cell r="Q102">
            <v>2.2073805750509396E-2</v>
          </cell>
          <cell r="R102">
            <v>1.5482695810564663E-2</v>
          </cell>
          <cell r="S102">
            <v>0</v>
          </cell>
          <cell r="T102">
            <v>3.954802259887006E-2</v>
          </cell>
          <cell r="U102">
            <v>5.1342956331079846E-2</v>
          </cell>
          <cell r="V102">
            <v>3.7477148080438755E-2</v>
          </cell>
          <cell r="W102">
            <v>2.3395381955040179E-2</v>
          </cell>
          <cell r="X102">
            <v>1.6437389770723104E-2</v>
          </cell>
          <cell r="Y102">
            <v>1.1119045190247883E-2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2.5150790941163081E-2</v>
          </cell>
          <cell r="AG102">
            <v>0</v>
          </cell>
          <cell r="AH102">
            <v>2.3623708078464457E-2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</row>
        <row r="103">
          <cell r="M103">
            <v>0.46203208556149739</v>
          </cell>
          <cell r="N103">
            <v>0.47796422644292824</v>
          </cell>
          <cell r="T103">
            <v>0.46438778933243879</v>
          </cell>
          <cell r="U103">
            <v>0.4794251082251082</v>
          </cell>
          <cell r="AA103">
            <v>0.46093841642228744</v>
          </cell>
          <cell r="AB103">
            <v>0.57156363636363638</v>
          </cell>
          <cell r="AH103">
            <v>0.52507575757575753</v>
          </cell>
          <cell r="AI103">
            <v>0.55392607392607396</v>
          </cell>
          <cell r="AO103" t="e">
            <v>#DIV/0!</v>
          </cell>
          <cell r="AP103" t="e">
            <v>#DIV/0!</v>
          </cell>
        </row>
        <row r="104">
          <cell r="M104">
            <v>24</v>
          </cell>
          <cell r="N104">
            <v>24</v>
          </cell>
          <cell r="O104">
            <v>24</v>
          </cell>
          <cell r="P104">
            <v>16</v>
          </cell>
          <cell r="Q104">
            <v>24</v>
          </cell>
          <cell r="R104">
            <v>15.5</v>
          </cell>
          <cell r="S104">
            <v>0</v>
          </cell>
          <cell r="T104">
            <v>24</v>
          </cell>
          <cell r="U104">
            <v>24</v>
          </cell>
          <cell r="V104">
            <v>24</v>
          </cell>
          <cell r="W104">
            <v>24</v>
          </cell>
          <cell r="X104">
            <v>24</v>
          </cell>
          <cell r="Y104">
            <v>15.5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15.5</v>
          </cell>
          <cell r="AG104">
            <v>0</v>
          </cell>
          <cell r="AH104">
            <v>24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</row>
        <row r="106">
          <cell r="M106">
            <v>0.69050949050949051</v>
          </cell>
          <cell r="N106">
            <v>0.44988636363636364</v>
          </cell>
          <cell r="O106">
            <v>0.57280303030303026</v>
          </cell>
          <cell r="P106">
            <v>0.30460227272727275</v>
          </cell>
          <cell r="Q106">
            <v>0.36856060606060603</v>
          </cell>
          <cell r="R106">
            <v>0.39490909090909093</v>
          </cell>
          <cell r="S106" t="e">
            <v>#DIV/0!</v>
          </cell>
          <cell r="T106">
            <v>0.46609390609390611</v>
          </cell>
          <cell r="U106">
            <v>0.39954545454545454</v>
          </cell>
          <cell r="V106">
            <v>0.44314393939393937</v>
          </cell>
          <cell r="W106">
            <v>0.44204545454545452</v>
          </cell>
          <cell r="X106">
            <v>0.52810606060606058</v>
          </cell>
          <cell r="Y106">
            <v>0.70501818181818177</v>
          </cell>
          <cell r="Z106" t="e">
            <v>#DIV/0!</v>
          </cell>
          <cell r="AA106" t="e">
            <v>#DIV/0!</v>
          </cell>
          <cell r="AB106" t="e">
            <v>#DIV/0!</v>
          </cell>
          <cell r="AC106" t="e">
            <v>#DIV/0!</v>
          </cell>
          <cell r="AD106" t="e">
            <v>#DIV/0!</v>
          </cell>
          <cell r="AE106" t="e">
            <v>#DIV/0!</v>
          </cell>
          <cell r="AF106">
            <v>0.62298181818181819</v>
          </cell>
          <cell r="AG106" t="e">
            <v>#DIV/0!</v>
          </cell>
          <cell r="AH106">
            <v>0.55392607392607396</v>
          </cell>
          <cell r="AI106" t="e">
            <v>#DIV/0!</v>
          </cell>
          <cell r="AJ106" t="e">
            <v>#DIV/0!</v>
          </cell>
          <cell r="AK106" t="e">
            <v>#DIV/0!</v>
          </cell>
          <cell r="AL106" t="e">
            <v>#DIV/0!</v>
          </cell>
          <cell r="AM106" t="e">
            <v>#DIV/0!</v>
          </cell>
          <cell r="AN106" t="e">
            <v>#DIV/0!</v>
          </cell>
          <cell r="AO106" t="e">
            <v>#DIV/0!</v>
          </cell>
          <cell r="AP106" t="e">
            <v>#DIV/0!</v>
          </cell>
          <cell r="AQ106" t="e">
            <v>#DIV/0!</v>
          </cell>
          <cell r="AR106" t="e">
            <v>#DIV/0!</v>
          </cell>
          <cell r="AS106" t="e">
            <v>#DIV/0!</v>
          </cell>
          <cell r="AT106" t="e">
            <v>#DIV/0!</v>
          </cell>
          <cell r="AU106" t="e">
            <v>#DIV/0!</v>
          </cell>
        </row>
        <row r="107">
          <cell r="M107">
            <v>0.65454545454545465</v>
          </cell>
          <cell r="N107">
            <v>0.4498863636363637</v>
          </cell>
          <cell r="O107">
            <v>0.57280303030303037</v>
          </cell>
          <cell r="P107">
            <v>0.30460227272727275</v>
          </cell>
          <cell r="Q107">
            <v>0.36856060606060609</v>
          </cell>
          <cell r="R107">
            <v>0.318475073313783</v>
          </cell>
          <cell r="S107" t="e">
            <v>#DIV/0!</v>
          </cell>
          <cell r="T107">
            <v>0.44181818181818183</v>
          </cell>
          <cell r="U107">
            <v>0.39954545454545459</v>
          </cell>
          <cell r="V107">
            <v>0.44314393939393942</v>
          </cell>
          <cell r="W107">
            <v>0.44204545454545457</v>
          </cell>
          <cell r="X107">
            <v>0.52810606060606069</v>
          </cell>
          <cell r="Y107">
            <v>0.56856304985337247</v>
          </cell>
          <cell r="Z107" t="e">
            <v>#DIV/0!</v>
          </cell>
          <cell r="AA107" t="e">
            <v>#DIV/0!</v>
          </cell>
          <cell r="AB107" t="e">
            <v>#DIV/0!</v>
          </cell>
          <cell r="AC107" t="e">
            <v>#DIV/0!</v>
          </cell>
          <cell r="AD107" t="e">
            <v>#DIV/0!</v>
          </cell>
          <cell r="AE107" t="e">
            <v>#DIV/0!</v>
          </cell>
          <cell r="AF107">
            <v>0.50240469208211147</v>
          </cell>
          <cell r="AG107" t="e">
            <v>#DIV/0!</v>
          </cell>
          <cell r="AH107">
            <v>0.52507575757575753</v>
          </cell>
          <cell r="AI107" t="e">
            <v>#DIV/0!</v>
          </cell>
          <cell r="AJ107" t="e">
            <v>#DIV/0!</v>
          </cell>
          <cell r="AK107" t="e">
            <v>#DIV/0!</v>
          </cell>
          <cell r="AL107" t="e">
            <v>#DIV/0!</v>
          </cell>
          <cell r="AM107" t="e">
            <v>#DIV/0!</v>
          </cell>
          <cell r="AN107" t="e">
            <v>#DIV/0!</v>
          </cell>
          <cell r="AO107" t="e">
            <v>#DIV/0!</v>
          </cell>
          <cell r="AP107" t="e">
            <v>#DIV/0!</v>
          </cell>
          <cell r="AQ107" t="e">
            <v>#DIV/0!</v>
          </cell>
          <cell r="AR107" t="e">
            <v>#DIV/0!</v>
          </cell>
          <cell r="AS107" t="e">
            <v>#DIV/0!</v>
          </cell>
          <cell r="AT107" t="e">
            <v>#DIV/0!</v>
          </cell>
          <cell r="AU107" t="e">
            <v>#DIV/0!</v>
          </cell>
        </row>
        <row r="110">
          <cell r="M110">
            <v>0</v>
          </cell>
          <cell r="N110" t="e">
            <v>#DIV/0!</v>
          </cell>
          <cell r="T110">
            <v>0.62845182451824522</v>
          </cell>
          <cell r="U110">
            <v>0.67051356080489932</v>
          </cell>
          <cell r="AA110">
            <v>0.70064064327485376</v>
          </cell>
          <cell r="AB110">
            <v>0.74735001949317736</v>
          </cell>
          <cell r="AH110">
            <v>0.69283148148148144</v>
          </cell>
          <cell r="AI110">
            <v>0.73902024691358015</v>
          </cell>
          <cell r="AO110">
            <v>0</v>
          </cell>
          <cell r="AP110" t="e">
            <v>#DIV/0!</v>
          </cell>
        </row>
        <row r="111"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24</v>
          </cell>
          <cell r="U111">
            <v>24</v>
          </cell>
          <cell r="V111">
            <v>24</v>
          </cell>
          <cell r="W111">
            <v>24</v>
          </cell>
          <cell r="X111">
            <v>24</v>
          </cell>
          <cell r="Y111">
            <v>15.5</v>
          </cell>
          <cell r="Z111">
            <v>0</v>
          </cell>
          <cell r="AA111">
            <v>24</v>
          </cell>
          <cell r="AB111">
            <v>24</v>
          </cell>
          <cell r="AC111">
            <v>24</v>
          </cell>
          <cell r="AD111">
            <v>24</v>
          </cell>
          <cell r="AE111">
            <v>24</v>
          </cell>
          <cell r="AF111">
            <v>24</v>
          </cell>
          <cell r="AG111">
            <v>8</v>
          </cell>
          <cell r="AH111">
            <v>24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</row>
        <row r="113">
          <cell r="M113" t="e">
            <v>#DIV/0!</v>
          </cell>
          <cell r="N113" t="e">
            <v>#DIV/0!</v>
          </cell>
          <cell r="O113" t="e">
            <v>#DIV/0!</v>
          </cell>
          <cell r="P113" t="e">
            <v>#DIV/0!</v>
          </cell>
          <cell r="Q113" t="e">
            <v>#DIV/0!</v>
          </cell>
          <cell r="R113" t="e">
            <v>#DIV/0!</v>
          </cell>
          <cell r="S113" t="e">
            <v>#DIV/0!</v>
          </cell>
          <cell r="T113">
            <v>0.60393876543209868</v>
          </cell>
          <cell r="U113">
            <v>0.66218666666666659</v>
          </cell>
          <cell r="V113">
            <v>0.73566716049382708</v>
          </cell>
          <cell r="W113">
            <v>0.67176691358024687</v>
          </cell>
          <cell r="X113">
            <v>0.70817185185185183</v>
          </cell>
          <cell r="Y113">
            <v>0.64696398467432936</v>
          </cell>
          <cell r="Z113" t="e">
            <v>#DIV/0!</v>
          </cell>
          <cell r="AA113">
            <v>0.72388345679012345</v>
          </cell>
          <cell r="AB113">
            <v>0.72589530864197527</v>
          </cell>
          <cell r="AC113">
            <v>0.7112375308641975</v>
          </cell>
          <cell r="AD113">
            <v>0.66831802469135793</v>
          </cell>
          <cell r="AE113">
            <v>0.80454913580246912</v>
          </cell>
          <cell r="AF113">
            <v>0.84382814814814811</v>
          </cell>
          <cell r="AG113">
            <v>0.8093392592592592</v>
          </cell>
          <cell r="AH113">
            <v>0.74189432098765429</v>
          </cell>
          <cell r="AI113" t="e">
            <v>#DIV/0!</v>
          </cell>
          <cell r="AJ113" t="e">
            <v>#DIV/0!</v>
          </cell>
          <cell r="AK113" t="e">
            <v>#DIV/0!</v>
          </cell>
          <cell r="AL113" t="e">
            <v>#DIV/0!</v>
          </cell>
          <cell r="AM113" t="e">
            <v>#DIV/0!</v>
          </cell>
          <cell r="AN113" t="e">
            <v>#DIV/0!</v>
          </cell>
          <cell r="AO113" t="e">
            <v>#DIV/0!</v>
          </cell>
          <cell r="AP113" t="e">
            <v>#DIV/0!</v>
          </cell>
          <cell r="AQ113" t="e">
            <v>#DIV/0!</v>
          </cell>
          <cell r="AR113" t="e">
            <v>#DIV/0!</v>
          </cell>
          <cell r="AS113" t="e">
            <v>#DIV/0!</v>
          </cell>
          <cell r="AT113" t="e">
            <v>#DIV/0!</v>
          </cell>
          <cell r="AU113" t="e">
            <v>#DIV/0!</v>
          </cell>
        </row>
        <row r="114">
          <cell r="M114" t="e">
            <v>#DIV/0!</v>
          </cell>
          <cell r="N114" t="e">
            <v>#DIV/0!</v>
          </cell>
          <cell r="O114" t="e">
            <v>#DIV/0!</v>
          </cell>
          <cell r="P114" t="e">
            <v>#DIV/0!</v>
          </cell>
          <cell r="Q114" t="e">
            <v>#DIV/0!</v>
          </cell>
          <cell r="R114" t="e">
            <v>#DIV/0!</v>
          </cell>
          <cell r="S114" t="e">
            <v>#DIV/0!</v>
          </cell>
          <cell r="T114">
            <v>0.56619259259259258</v>
          </cell>
          <cell r="U114">
            <v>0.62079999999999991</v>
          </cell>
          <cell r="V114">
            <v>0.68968796296296297</v>
          </cell>
          <cell r="W114">
            <v>0.62978148148148139</v>
          </cell>
          <cell r="X114">
            <v>0.66391111111111112</v>
          </cell>
          <cell r="Y114">
            <v>0.60522437275985652</v>
          </cell>
          <cell r="Z114" t="e">
            <v>#DIV/0!</v>
          </cell>
          <cell r="AA114">
            <v>0.67864074074074077</v>
          </cell>
          <cell r="AB114">
            <v>0.6805268518518518</v>
          </cell>
          <cell r="AC114">
            <v>0.66678518518518526</v>
          </cell>
          <cell r="AD114">
            <v>0.62654814814814819</v>
          </cell>
          <cell r="AE114">
            <v>0.75426481481481478</v>
          </cell>
          <cell r="AF114">
            <v>0.79108888888888895</v>
          </cell>
          <cell r="AG114">
            <v>0.75875555555555552</v>
          </cell>
          <cell r="AH114">
            <v>0.69552592592592577</v>
          </cell>
          <cell r="AI114" t="e">
            <v>#DIV/0!</v>
          </cell>
          <cell r="AJ114" t="e">
            <v>#DIV/0!</v>
          </cell>
          <cell r="AK114" t="e">
            <v>#DIV/0!</v>
          </cell>
          <cell r="AL114" t="e">
            <v>#DIV/0!</v>
          </cell>
          <cell r="AM114" t="e">
            <v>#DIV/0!</v>
          </cell>
          <cell r="AN114" t="e">
            <v>#DIV/0!</v>
          </cell>
          <cell r="AO114" t="e">
            <v>#DIV/0!</v>
          </cell>
          <cell r="AP114" t="e">
            <v>#DIV/0!</v>
          </cell>
          <cell r="AQ114" t="e">
            <v>#DIV/0!</v>
          </cell>
          <cell r="AR114" t="e">
            <v>#DIV/0!</v>
          </cell>
          <cell r="AS114" t="e">
            <v>#DIV/0!</v>
          </cell>
          <cell r="AT114" t="e">
            <v>#DIV/0!</v>
          </cell>
          <cell r="AU114" t="e">
            <v>#DIV/0!</v>
          </cell>
        </row>
        <row r="116">
          <cell r="M116">
            <v>0</v>
          </cell>
          <cell r="N116" t="e">
            <v>#DIV/0!</v>
          </cell>
          <cell r="T116">
            <v>0.67285238948626047</v>
          </cell>
          <cell r="U116">
            <v>0.71925600255427857</v>
          </cell>
          <cell r="AA116">
            <v>0.59198333333333331</v>
          </cell>
          <cell r="AB116">
            <v>0.63242939958592137</v>
          </cell>
          <cell r="AH116">
            <v>0.53555806451612908</v>
          </cell>
          <cell r="AI116">
            <v>0.57249310344827598</v>
          </cell>
          <cell r="AO116">
            <v>0</v>
          </cell>
          <cell r="AP116" t="e">
            <v>#DIV/0!</v>
          </cell>
        </row>
        <row r="117"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15.5</v>
          </cell>
          <cell r="U117">
            <v>15.5</v>
          </cell>
          <cell r="V117">
            <v>15.5</v>
          </cell>
          <cell r="W117">
            <v>15.5</v>
          </cell>
          <cell r="X117">
            <v>15.5</v>
          </cell>
          <cell r="Y117">
            <v>15.5</v>
          </cell>
          <cell r="Z117">
            <v>0</v>
          </cell>
          <cell r="AA117">
            <v>24</v>
          </cell>
          <cell r="AB117">
            <v>15.5</v>
          </cell>
          <cell r="AC117">
            <v>15.5</v>
          </cell>
          <cell r="AD117">
            <v>15.5</v>
          </cell>
          <cell r="AE117">
            <v>15.5</v>
          </cell>
          <cell r="AF117">
            <v>0</v>
          </cell>
          <cell r="AG117">
            <v>0</v>
          </cell>
          <cell r="AH117">
            <v>15.5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9">
          <cell r="M119" t="e">
            <v>#DIV/0!</v>
          </cell>
          <cell r="N119" t="e">
            <v>#DIV/0!</v>
          </cell>
          <cell r="O119" t="e">
            <v>#DIV/0!</v>
          </cell>
          <cell r="P119" t="e">
            <v>#DIV/0!</v>
          </cell>
          <cell r="Q119" t="e">
            <v>#DIV/0!</v>
          </cell>
          <cell r="R119" t="e">
            <v>#DIV/0!</v>
          </cell>
          <cell r="S119" t="e">
            <v>#DIV/0!</v>
          </cell>
          <cell r="T119">
            <v>0.57557394636015335</v>
          </cell>
          <cell r="U119">
            <v>0.82856551724137939</v>
          </cell>
          <cell r="V119">
            <v>0.80029425287356337</v>
          </cell>
          <cell r="W119">
            <v>0.69155862068965523</v>
          </cell>
          <cell r="X119">
            <v>0.73940229885057485</v>
          </cell>
          <cell r="Y119">
            <v>0.69010881226053655</v>
          </cell>
          <cell r="Z119" t="e">
            <v>#DIV/0!</v>
          </cell>
          <cell r="AA119">
            <v>0.69782098765432099</v>
          </cell>
          <cell r="AB119">
            <v>0.81769195402298867</v>
          </cell>
          <cell r="AC119">
            <v>0.82929042145593879</v>
          </cell>
          <cell r="AD119">
            <v>0.53189846743295033</v>
          </cell>
          <cell r="AE119">
            <v>0.26096551724137934</v>
          </cell>
          <cell r="AF119" t="e">
            <v>#DIV/0!</v>
          </cell>
          <cell r="AG119" t="e">
            <v>#DIV/0!</v>
          </cell>
          <cell r="AH119">
            <v>0.57412413793103456</v>
          </cell>
          <cell r="AI119" t="e">
            <v>#DIV/0!</v>
          </cell>
          <cell r="AJ119" t="e">
            <v>#DIV/0!</v>
          </cell>
          <cell r="AK119" t="e">
            <v>#DIV/0!</v>
          </cell>
          <cell r="AL119" t="e">
            <v>#DIV/0!</v>
          </cell>
          <cell r="AM119" t="e">
            <v>#DIV/0!</v>
          </cell>
          <cell r="AN119" t="e">
            <v>#DIV/0!</v>
          </cell>
          <cell r="AO119" t="e">
            <v>#DIV/0!</v>
          </cell>
          <cell r="AP119" t="e">
            <v>#DIV/0!</v>
          </cell>
          <cell r="AQ119" t="e">
            <v>#DIV/0!</v>
          </cell>
          <cell r="AR119" t="e">
            <v>#DIV/0!</v>
          </cell>
          <cell r="AS119" t="e">
            <v>#DIV/0!</v>
          </cell>
          <cell r="AT119" t="e">
            <v>#DIV/0!</v>
          </cell>
          <cell r="AU119" t="e">
            <v>#DIV/0!</v>
          </cell>
        </row>
        <row r="120">
          <cell r="M120" t="e">
            <v>#DIV/0!</v>
          </cell>
          <cell r="N120" t="e">
            <v>#DIV/0!</v>
          </cell>
          <cell r="O120" t="e">
            <v>#DIV/0!</v>
          </cell>
          <cell r="P120" t="e">
            <v>#DIV/0!</v>
          </cell>
          <cell r="Q120" t="e">
            <v>#DIV/0!</v>
          </cell>
          <cell r="R120" t="e">
            <v>#DIV/0!</v>
          </cell>
          <cell r="S120" t="e">
            <v>#DIV/0!</v>
          </cell>
          <cell r="T120">
            <v>0.53844014336917567</v>
          </cell>
          <cell r="U120">
            <v>0.77510967741935488</v>
          </cell>
          <cell r="V120">
            <v>0.74866236559139787</v>
          </cell>
          <cell r="W120">
            <v>0.64694193548387091</v>
          </cell>
          <cell r="X120">
            <v>0.69169892473118277</v>
          </cell>
          <cell r="Y120">
            <v>0.64558566308243726</v>
          </cell>
          <cell r="Z120" t="e">
            <v>#DIV/0!</v>
          </cell>
          <cell r="AA120">
            <v>0.65420717592592603</v>
          </cell>
          <cell r="AB120">
            <v>0.7649376344086023</v>
          </cell>
          <cell r="AC120">
            <v>0.77578781362007176</v>
          </cell>
          <cell r="AD120">
            <v>0.49758243727598572</v>
          </cell>
          <cell r="AE120">
            <v>0.24412903225806454</v>
          </cell>
          <cell r="AF120" t="e">
            <v>#DIV/0!</v>
          </cell>
          <cell r="AG120" t="e">
            <v>#DIV/0!</v>
          </cell>
          <cell r="AH120">
            <v>0.53708387096774202</v>
          </cell>
          <cell r="AI120" t="e">
            <v>#DIV/0!</v>
          </cell>
          <cell r="AJ120" t="e">
            <v>#DIV/0!</v>
          </cell>
          <cell r="AK120" t="e">
            <v>#DIV/0!</v>
          </cell>
          <cell r="AL120" t="e">
            <v>#DIV/0!</v>
          </cell>
          <cell r="AM120" t="e">
            <v>#DIV/0!</v>
          </cell>
          <cell r="AN120" t="e">
            <v>#DIV/0!</v>
          </cell>
          <cell r="AO120" t="e">
            <v>#DIV/0!</v>
          </cell>
          <cell r="AP120" t="e">
            <v>#DIV/0!</v>
          </cell>
          <cell r="AQ120" t="e">
            <v>#DIV/0!</v>
          </cell>
          <cell r="AR120" t="e">
            <v>#DIV/0!</v>
          </cell>
          <cell r="AS120" t="e">
            <v>#DIV/0!</v>
          </cell>
          <cell r="AT120" t="e">
            <v>#DIV/0!</v>
          </cell>
          <cell r="AU120" t="e">
            <v>#DIV/0!</v>
          </cell>
        </row>
        <row r="122">
          <cell r="M122">
            <v>0</v>
          </cell>
          <cell r="N122" t="e">
            <v>#DIV/0!</v>
          </cell>
          <cell r="T122">
            <v>0.55391068376068375</v>
          </cell>
          <cell r="U122">
            <v>0.59083806267806271</v>
          </cell>
          <cell r="AA122">
            <v>0.44184297328687572</v>
          </cell>
          <cell r="AB122">
            <v>0.4714086741016108</v>
          </cell>
          <cell r="AH122">
            <v>0.78349166666666659</v>
          </cell>
          <cell r="AI122">
            <v>0.83572444444444438</v>
          </cell>
          <cell r="AO122">
            <v>0</v>
          </cell>
          <cell r="AP122" t="e">
            <v>#DIV/0!</v>
          </cell>
        </row>
        <row r="123"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24</v>
          </cell>
          <cell r="U123">
            <v>24</v>
          </cell>
          <cell r="V123">
            <v>24</v>
          </cell>
          <cell r="W123">
            <v>24</v>
          </cell>
          <cell r="X123">
            <v>8</v>
          </cell>
          <cell r="Y123">
            <v>0</v>
          </cell>
          <cell r="Z123">
            <v>0</v>
          </cell>
          <cell r="AA123">
            <v>24</v>
          </cell>
          <cell r="AB123">
            <v>24</v>
          </cell>
          <cell r="AC123">
            <v>24</v>
          </cell>
          <cell r="AD123">
            <v>24</v>
          </cell>
          <cell r="AE123">
            <v>24</v>
          </cell>
          <cell r="AF123">
            <v>15.5</v>
          </cell>
          <cell r="AG123">
            <v>8</v>
          </cell>
          <cell r="AH123">
            <v>24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</row>
        <row r="125">
          <cell r="M125" t="e">
            <v>#DIV/0!</v>
          </cell>
          <cell r="N125" t="e">
            <v>#DIV/0!</v>
          </cell>
          <cell r="O125" t="e">
            <v>#DIV/0!</v>
          </cell>
          <cell r="P125" t="e">
            <v>#DIV/0!</v>
          </cell>
          <cell r="Q125" t="e">
            <v>#DIV/0!</v>
          </cell>
          <cell r="R125" t="e">
            <v>#DIV/0!</v>
          </cell>
          <cell r="S125" t="e">
            <v>#DIV/0!</v>
          </cell>
          <cell r="T125">
            <v>0.76288</v>
          </cell>
          <cell r="U125">
            <v>0.79113481481481474</v>
          </cell>
          <cell r="V125">
            <v>0.58628740740740737</v>
          </cell>
          <cell r="W125">
            <v>0.38379456790123456</v>
          </cell>
          <cell r="X125">
            <v>0.12714666666666666</v>
          </cell>
          <cell r="Y125" t="e">
            <v>#DIV/0!</v>
          </cell>
          <cell r="Z125" t="e">
            <v>#DIV/0!</v>
          </cell>
          <cell r="AA125">
            <v>0</v>
          </cell>
          <cell r="AB125">
            <v>0.27519012345679011</v>
          </cell>
          <cell r="AC125">
            <v>0.58540444444444439</v>
          </cell>
          <cell r="AD125">
            <v>0.6522153086419753</v>
          </cell>
          <cell r="AE125">
            <v>0.73138765432098762</v>
          </cell>
          <cell r="AF125">
            <v>0.58686590038314168</v>
          </cell>
          <cell r="AG125">
            <v>0.60747851851851853</v>
          </cell>
          <cell r="AH125">
            <v>0.83822617283950618</v>
          </cell>
          <cell r="AI125" t="e">
            <v>#DIV/0!</v>
          </cell>
          <cell r="AJ125" t="e">
            <v>#DIV/0!</v>
          </cell>
          <cell r="AK125" t="e">
            <v>#DIV/0!</v>
          </cell>
          <cell r="AL125" t="e">
            <v>#DIV/0!</v>
          </cell>
          <cell r="AM125" t="e">
            <v>#DIV/0!</v>
          </cell>
          <cell r="AN125" t="e">
            <v>#DIV/0!</v>
          </cell>
          <cell r="AO125" t="e">
            <v>#DIV/0!</v>
          </cell>
          <cell r="AP125" t="e">
            <v>#DIV/0!</v>
          </cell>
          <cell r="AQ125" t="e">
            <v>#DIV/0!</v>
          </cell>
          <cell r="AR125" t="e">
            <v>#DIV/0!</v>
          </cell>
          <cell r="AS125" t="e">
            <v>#DIV/0!</v>
          </cell>
          <cell r="AT125" t="e">
            <v>#DIV/0!</v>
          </cell>
          <cell r="AU125" t="e">
            <v>#DIV/0!</v>
          </cell>
        </row>
        <row r="126">
          <cell r="M126" t="e">
            <v>#DIV/0!</v>
          </cell>
          <cell r="N126" t="e">
            <v>#DIV/0!</v>
          </cell>
          <cell r="O126" t="e">
            <v>#DIV/0!</v>
          </cell>
          <cell r="P126" t="e">
            <v>#DIV/0!</v>
          </cell>
          <cell r="Q126" t="e">
            <v>#DIV/0!</v>
          </cell>
          <cell r="R126" t="e">
            <v>#DIV/0!</v>
          </cell>
          <cell r="S126" t="e">
            <v>#DIV/0!</v>
          </cell>
          <cell r="T126">
            <v>0.71519999999999995</v>
          </cell>
          <cell r="U126">
            <v>0.74168888888888895</v>
          </cell>
          <cell r="V126">
            <v>0.54964444444444449</v>
          </cell>
          <cell r="W126">
            <v>0.35980740740740741</v>
          </cell>
          <cell r="X126">
            <v>0.1192</v>
          </cell>
          <cell r="Y126" t="e">
            <v>#DIV/0!</v>
          </cell>
          <cell r="Z126" t="e">
            <v>#DIV/0!</v>
          </cell>
          <cell r="AA126">
            <v>0</v>
          </cell>
          <cell r="AB126">
            <v>0.25799074074074074</v>
          </cell>
          <cell r="AC126">
            <v>0.54881666666666662</v>
          </cell>
          <cell r="AD126">
            <v>0.61145185185185191</v>
          </cell>
          <cell r="AE126">
            <v>0.68567592592592597</v>
          </cell>
          <cell r="AF126">
            <v>0.54900358422939066</v>
          </cell>
          <cell r="AG126">
            <v>0.56951111111111108</v>
          </cell>
          <cell r="AH126">
            <v>0.78583703703703689</v>
          </cell>
          <cell r="AI126" t="e">
            <v>#DIV/0!</v>
          </cell>
          <cell r="AJ126" t="e">
            <v>#DIV/0!</v>
          </cell>
          <cell r="AK126" t="e">
            <v>#DIV/0!</v>
          </cell>
          <cell r="AL126" t="e">
            <v>#DIV/0!</v>
          </cell>
          <cell r="AM126" t="e">
            <v>#DIV/0!</v>
          </cell>
          <cell r="AN126" t="e">
            <v>#DIV/0!</v>
          </cell>
          <cell r="AO126" t="e">
            <v>#DIV/0!</v>
          </cell>
          <cell r="AP126" t="e">
            <v>#DIV/0!</v>
          </cell>
          <cell r="AQ126" t="e">
            <v>#DIV/0!</v>
          </cell>
          <cell r="AR126" t="e">
            <v>#DIV/0!</v>
          </cell>
          <cell r="AS126" t="e">
            <v>#DIV/0!</v>
          </cell>
          <cell r="AT126" t="e">
            <v>#DIV/0!</v>
          </cell>
          <cell r="AU126" t="e">
            <v>#DIV/0!</v>
          </cell>
        </row>
        <row r="128">
          <cell r="M128">
            <v>0</v>
          </cell>
          <cell r="N128" t="e">
            <v>#DIV/0!</v>
          </cell>
          <cell r="T128">
            <v>0.6175555054302424</v>
          </cell>
          <cell r="U128">
            <v>0.66448422664569018</v>
          </cell>
          <cell r="AA128">
            <v>0.57880055337119551</v>
          </cell>
          <cell r="AB128">
            <v>0.64012002151402647</v>
          </cell>
          <cell r="AH128">
            <v>0.68870717410323712</v>
          </cell>
          <cell r="AI128">
            <v>0.72751513391488165</v>
          </cell>
          <cell r="AO128">
            <v>0</v>
          </cell>
          <cell r="AP128" t="e">
            <v>#DIV/0!</v>
          </cell>
        </row>
        <row r="129"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63.5</v>
          </cell>
          <cell r="U129">
            <v>63.5</v>
          </cell>
          <cell r="V129">
            <v>63.5</v>
          </cell>
          <cell r="W129">
            <v>63.5</v>
          </cell>
          <cell r="X129">
            <v>47.5</v>
          </cell>
          <cell r="Y129">
            <v>31</v>
          </cell>
          <cell r="Z129">
            <v>0</v>
          </cell>
          <cell r="AA129">
            <v>72</v>
          </cell>
          <cell r="AB129">
            <v>63.5</v>
          </cell>
          <cell r="AC129">
            <v>63.5</v>
          </cell>
          <cell r="AD129">
            <v>63.5</v>
          </cell>
          <cell r="AE129">
            <v>63.5</v>
          </cell>
          <cell r="AF129">
            <v>39.5</v>
          </cell>
          <cell r="AG129">
            <v>16</v>
          </cell>
          <cell r="AH129">
            <v>63.5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</row>
        <row r="131">
          <cell r="M131" t="e">
            <v>#DIV/0!</v>
          </cell>
          <cell r="N131" t="e">
            <v>#DIV/0!</v>
          </cell>
          <cell r="O131" t="e">
            <v>#DIV/0!</v>
          </cell>
          <cell r="P131" t="e">
            <v>#DIV/0!</v>
          </cell>
          <cell r="Q131" t="e">
            <v>#DIV/0!</v>
          </cell>
          <cell r="R131" t="e">
            <v>#DIV/0!</v>
          </cell>
          <cell r="S131" t="e">
            <v>#DIV/0!</v>
          </cell>
          <cell r="T131">
            <v>0.64453129070371096</v>
          </cell>
          <cell r="U131">
            <v>0.74105275240483959</v>
          </cell>
          <cell r="V131">
            <v>0.70672521980530334</v>
          </cell>
          <cell r="W131">
            <v>0.59055662997102154</v>
          </cell>
          <cell r="X131">
            <v>0.64540151356964826</v>
          </cell>
          <cell r="Y131">
            <v>0.66640671766323578</v>
          </cell>
          <cell r="Z131" t="e">
            <v>#DIV/0!</v>
          </cell>
          <cell r="AA131">
            <v>0.52454246611051925</v>
          </cell>
          <cell r="AB131">
            <v>0.61354420941987875</v>
          </cell>
          <cell r="AC131">
            <v>0.70228593581996002</v>
          </cell>
          <cell r="AD131">
            <v>0.63042227922554051</v>
          </cell>
          <cell r="AE131">
            <v>0.65086056688083416</v>
          </cell>
          <cell r="AF131">
            <v>0.76788416800915216</v>
          </cell>
          <cell r="AG131">
            <v>0.72974376392652818</v>
          </cell>
          <cell r="AH131">
            <v>0.72997651909487393</v>
          </cell>
          <cell r="AI131" t="e">
            <v>#DIV/0!</v>
          </cell>
          <cell r="AJ131" t="e">
            <v>#DIV/0!</v>
          </cell>
          <cell r="AK131" t="e">
            <v>#DIV/0!</v>
          </cell>
          <cell r="AL131" t="e">
            <v>#DIV/0!</v>
          </cell>
          <cell r="AM131" t="e">
            <v>#DIV/0!</v>
          </cell>
          <cell r="AN131" t="e">
            <v>#DIV/0!</v>
          </cell>
          <cell r="AO131" t="e">
            <v>#DIV/0!</v>
          </cell>
          <cell r="AP131" t="e">
            <v>#DIV/0!</v>
          </cell>
          <cell r="AQ131" t="e">
            <v>#DIV/0!</v>
          </cell>
          <cell r="AR131" t="e">
            <v>#DIV/0!</v>
          </cell>
          <cell r="AS131" t="e">
            <v>#DIV/0!</v>
          </cell>
          <cell r="AT131" t="e">
            <v>#DIV/0!</v>
          </cell>
          <cell r="AU131" t="e">
            <v>#DIV/0!</v>
          </cell>
        </row>
        <row r="132">
          <cell r="M132" t="e">
            <v>#DIV/0!</v>
          </cell>
          <cell r="N132" t="e">
            <v>#DIV/0!</v>
          </cell>
          <cell r="O132" t="e">
            <v>#DIV/0!</v>
          </cell>
          <cell r="P132" t="e">
            <v>#DIV/0!</v>
          </cell>
          <cell r="Q132" t="e">
            <v>#DIV/0!</v>
          </cell>
          <cell r="R132" t="e">
            <v>#DIV/0!</v>
          </cell>
          <cell r="S132" t="e">
            <v>#DIV/0!</v>
          </cell>
          <cell r="T132">
            <v>0.61573613298337704</v>
          </cell>
          <cell r="U132">
            <v>0.70415643044619414</v>
          </cell>
          <cell r="V132">
            <v>0.65115345581802264</v>
          </cell>
          <cell r="W132">
            <v>0.53193280839895007</v>
          </cell>
          <cell r="X132">
            <v>0.58123789473684218</v>
          </cell>
          <cell r="Y132">
            <v>0.62540501792114689</v>
          </cell>
          <cell r="Z132" t="e">
            <v>#DIV/0!</v>
          </cell>
          <cell r="AA132">
            <v>0.44428263888888891</v>
          </cell>
          <cell r="AB132">
            <v>0.54143237095363084</v>
          </cell>
          <cell r="AC132">
            <v>0.64880559930008763</v>
          </cell>
          <cell r="AD132">
            <v>0.58936264216972878</v>
          </cell>
          <cell r="AE132">
            <v>0.60382012248468941</v>
          </cell>
          <cell r="AF132">
            <v>0.69609338959212386</v>
          </cell>
          <cell r="AG132">
            <v>0.66413333333333335</v>
          </cell>
          <cell r="AH132">
            <v>0.69098442694663154</v>
          </cell>
          <cell r="AI132" t="e">
            <v>#DIV/0!</v>
          </cell>
          <cell r="AJ132" t="e">
            <v>#DIV/0!</v>
          </cell>
          <cell r="AK132" t="e">
            <v>#DIV/0!</v>
          </cell>
          <cell r="AL132" t="e">
            <v>#DIV/0!</v>
          </cell>
          <cell r="AM132" t="e">
            <v>#DIV/0!</v>
          </cell>
          <cell r="AN132" t="e">
            <v>#DIV/0!</v>
          </cell>
          <cell r="AO132" t="e">
            <v>#DIV/0!</v>
          </cell>
          <cell r="AP132" t="e">
            <v>#DIV/0!</v>
          </cell>
          <cell r="AQ132" t="e">
            <v>#DIV/0!</v>
          </cell>
          <cell r="AR132" t="e">
            <v>#DIV/0!</v>
          </cell>
          <cell r="AS132" t="e">
            <v>#DIV/0!</v>
          </cell>
          <cell r="AT132" t="e">
            <v>#DIV/0!</v>
          </cell>
          <cell r="AU132" t="e">
            <v>#DIV/0!</v>
          </cell>
        </row>
        <row r="152">
          <cell r="M152">
            <v>38537</v>
          </cell>
          <cell r="N152">
            <v>38538</v>
          </cell>
          <cell r="O152">
            <v>38539</v>
          </cell>
          <cell r="P152">
            <v>38540</v>
          </cell>
          <cell r="Q152">
            <v>38541</v>
          </cell>
          <cell r="R152">
            <v>38542</v>
          </cell>
          <cell r="S152">
            <v>38543</v>
          </cell>
          <cell r="T152">
            <v>38544</v>
          </cell>
          <cell r="U152">
            <v>38545</v>
          </cell>
          <cell r="V152">
            <v>38546</v>
          </cell>
          <cell r="W152">
            <v>38547</v>
          </cell>
          <cell r="X152">
            <v>38548</v>
          </cell>
          <cell r="Y152">
            <v>38549</v>
          </cell>
          <cell r="Z152">
            <v>38550</v>
          </cell>
          <cell r="AA152">
            <v>38551</v>
          </cell>
          <cell r="AB152">
            <v>38552</v>
          </cell>
          <cell r="AC152">
            <v>38553</v>
          </cell>
          <cell r="AD152">
            <v>38554</v>
          </cell>
          <cell r="AE152">
            <v>38555</v>
          </cell>
          <cell r="AF152">
            <v>38556</v>
          </cell>
          <cell r="AG152">
            <v>38557</v>
          </cell>
          <cell r="AH152">
            <v>38558</v>
          </cell>
          <cell r="AI152">
            <v>38559</v>
          </cell>
          <cell r="AJ152">
            <v>38560</v>
          </cell>
          <cell r="AK152">
            <v>38561</v>
          </cell>
          <cell r="AL152">
            <v>38562</v>
          </cell>
          <cell r="AM152">
            <v>38563</v>
          </cell>
          <cell r="AN152">
            <v>38564</v>
          </cell>
          <cell r="AO152">
            <v>38565</v>
          </cell>
          <cell r="AP152">
            <v>38566</v>
          </cell>
          <cell r="AQ152">
            <v>38567</v>
          </cell>
          <cell r="AR152">
            <v>38568</v>
          </cell>
          <cell r="AS152">
            <v>38569</v>
          </cell>
          <cell r="AT152">
            <v>38570</v>
          </cell>
          <cell r="AU152">
            <v>38571</v>
          </cell>
        </row>
        <row r="154">
          <cell r="M154">
            <v>-0.56703559027777783</v>
          </cell>
          <cell r="N154">
            <v>-0.62815393518518514</v>
          </cell>
          <cell r="O154">
            <v>-0.60429687500000007</v>
          </cell>
          <cell r="P154">
            <v>-0.4814453125</v>
          </cell>
          <cell r="Q154">
            <v>-0.57724247685185659</v>
          </cell>
          <cell r="R154">
            <v>-0.69357638888889461</v>
          </cell>
          <cell r="S154" t="e">
            <v>#DIV/0!</v>
          </cell>
          <cell r="T154">
            <v>-0.52362557870370374</v>
          </cell>
          <cell r="U154">
            <v>-0.59027777777777779</v>
          </cell>
          <cell r="V154">
            <v>-0.38466435185185183</v>
          </cell>
          <cell r="W154">
            <v>-0.37322771990740744</v>
          </cell>
          <cell r="X154">
            <v>-0.61465053763440858</v>
          </cell>
          <cell r="Y154">
            <v>-0.61155237268518514</v>
          </cell>
          <cell r="Z154" t="e">
            <v>#DIV/0!</v>
          </cell>
          <cell r="AA154">
            <v>-0.28111979166666901</v>
          </cell>
          <cell r="AB154">
            <v>-0.47738715277778171</v>
          </cell>
          <cell r="AC154">
            <v>-0.4058159722222256</v>
          </cell>
          <cell r="AD154">
            <v>0</v>
          </cell>
          <cell r="AE154">
            <v>-0.27324942129629853</v>
          </cell>
          <cell r="AF154">
            <v>-0.6054036458333204</v>
          </cell>
          <cell r="AG154" t="e">
            <v>#DIV/0!</v>
          </cell>
          <cell r="AH154">
            <v>-0.25947627314814814</v>
          </cell>
          <cell r="AI154" t="e">
            <v>#DIV/0!</v>
          </cell>
          <cell r="AJ154" t="e">
            <v>#DIV/0!</v>
          </cell>
          <cell r="AK154" t="e">
            <v>#DIV/0!</v>
          </cell>
          <cell r="AL154" t="e">
            <v>#DIV/0!</v>
          </cell>
          <cell r="AM154" t="e">
            <v>#DIV/0!</v>
          </cell>
          <cell r="AN154" t="e">
            <v>#DIV/0!</v>
          </cell>
          <cell r="AO154" t="e">
            <v>#DIV/0!</v>
          </cell>
          <cell r="AP154" t="e">
            <v>#DIV/0!</v>
          </cell>
          <cell r="AQ154" t="e">
            <v>#DIV/0!</v>
          </cell>
          <cell r="AR154" t="e">
            <v>#DIV/0!</v>
          </cell>
          <cell r="AS154" t="e">
            <v>#DIV/0!</v>
          </cell>
          <cell r="AT154" t="e">
            <v>#DIV/0!</v>
          </cell>
          <cell r="AU154" t="e">
            <v>#DIV/0!</v>
          </cell>
        </row>
        <row r="156">
          <cell r="M156">
            <v>-0.54360894097222223</v>
          </cell>
          <cell r="N156">
            <v>-0.41452732974910395</v>
          </cell>
          <cell r="O156">
            <v>-0.51206597222222217</v>
          </cell>
          <cell r="P156">
            <v>-0.66418547453703702</v>
          </cell>
          <cell r="Q156">
            <v>-0.65483940972222221</v>
          </cell>
          <cell r="R156">
            <v>-0.58043981481481477</v>
          </cell>
          <cell r="S156" t="e">
            <v>#DIV/0!</v>
          </cell>
          <cell r="T156">
            <v>-0.49792390046296298</v>
          </cell>
          <cell r="U156">
            <v>-0.70501302083333339</v>
          </cell>
          <cell r="V156">
            <v>-0.54428530092592597</v>
          </cell>
          <cell r="W156">
            <v>-0.57392216435185184</v>
          </cell>
          <cell r="X156">
            <v>-0.59656137992831537</v>
          </cell>
          <cell r="Y156">
            <v>-0.55719762731481481</v>
          </cell>
          <cell r="Z156" t="e">
            <v>#DIV/0!</v>
          </cell>
          <cell r="AA156">
            <v>-0.61720920138888891</v>
          </cell>
          <cell r="AB156">
            <v>-0.81741174768518521</v>
          </cell>
          <cell r="AC156">
            <v>-0.80019531249999998</v>
          </cell>
          <cell r="AD156">
            <v>-0.76231915509259263</v>
          </cell>
          <cell r="AE156">
            <v>-0.5146484375</v>
          </cell>
          <cell r="AF156">
            <v>-0.62827690972222217</v>
          </cell>
          <cell r="AG156" t="e">
            <v>#DIV/0!</v>
          </cell>
          <cell r="AH156">
            <v>-0.55670572916666672</v>
          </cell>
          <cell r="AI156" t="e">
            <v>#DIV/0!</v>
          </cell>
          <cell r="AJ156" t="e">
            <v>#DIV/0!</v>
          </cell>
          <cell r="AK156" t="e">
            <v>#DIV/0!</v>
          </cell>
          <cell r="AL156" t="e">
            <v>#DIV/0!</v>
          </cell>
          <cell r="AM156" t="e">
            <v>#DIV/0!</v>
          </cell>
          <cell r="AN156" t="e">
            <v>#DIV/0!</v>
          </cell>
          <cell r="AO156" t="e">
            <v>#DIV/0!</v>
          </cell>
          <cell r="AP156" t="e">
            <v>#DIV/0!</v>
          </cell>
          <cell r="AQ156" t="e">
            <v>#DIV/0!</v>
          </cell>
          <cell r="AR156" t="e">
            <v>#DIV/0!</v>
          </cell>
          <cell r="AS156" t="e">
            <v>#DIV/0!</v>
          </cell>
          <cell r="AT156" t="e">
            <v>#DIV/0!</v>
          </cell>
          <cell r="AU156" t="e">
            <v>#DIV/0!</v>
          </cell>
        </row>
        <row r="158">
          <cell r="M158">
            <v>-0.51754032258064508</v>
          </cell>
          <cell r="N158">
            <v>-0.63737702546296293</v>
          </cell>
          <cell r="O158">
            <v>-0.6982494212962963</v>
          </cell>
          <cell r="P158">
            <v>-0.65938946759259254</v>
          </cell>
          <cell r="Q158">
            <v>-0.52510127314814814</v>
          </cell>
          <cell r="R158">
            <v>-0.40532407407407406</v>
          </cell>
          <cell r="S158" t="e">
            <v>#DIV/0!</v>
          </cell>
          <cell r="T158">
            <v>-0.54748263888888882</v>
          </cell>
          <cell r="U158">
            <v>-0.64143518518518516</v>
          </cell>
          <cell r="V158">
            <v>-0.72554976851851849</v>
          </cell>
          <cell r="W158">
            <v>-0.63479456018518521</v>
          </cell>
          <cell r="X158">
            <v>-0.59261429398148147</v>
          </cell>
          <cell r="Y158">
            <v>-0.67131799768518519</v>
          </cell>
          <cell r="Z158" t="e">
            <v>#DIV/0!</v>
          </cell>
          <cell r="AA158">
            <v>-0.4700086805555555</v>
          </cell>
          <cell r="AB158">
            <v>-0.66455439814814821</v>
          </cell>
          <cell r="AC158">
            <v>-0.66898148148148151</v>
          </cell>
          <cell r="AD158">
            <v>-0.6489366319444444</v>
          </cell>
          <cell r="AE158">
            <v>-0.69394531250000002</v>
          </cell>
          <cell r="AF158">
            <v>-0.67390046296296291</v>
          </cell>
          <cell r="AG158" t="e">
            <v>#DIV/0!</v>
          </cell>
          <cell r="AH158">
            <v>-0.5795789930555556</v>
          </cell>
          <cell r="AI158" t="e">
            <v>#DIV/0!</v>
          </cell>
          <cell r="AJ158" t="e">
            <v>#DIV/0!</v>
          </cell>
          <cell r="AK158" t="e">
            <v>#DIV/0!</v>
          </cell>
          <cell r="AL158" t="e">
            <v>#DIV/0!</v>
          </cell>
          <cell r="AM158" t="e">
            <v>#DIV/0!</v>
          </cell>
          <cell r="AN158" t="e">
            <v>#DIV/0!</v>
          </cell>
          <cell r="AO158" t="e">
            <v>#DIV/0!</v>
          </cell>
          <cell r="AP158" t="e">
            <v>#DIV/0!</v>
          </cell>
          <cell r="AQ158" t="e">
            <v>#DIV/0!</v>
          </cell>
          <cell r="AR158" t="e">
            <v>#DIV/0!</v>
          </cell>
          <cell r="AS158" t="e">
            <v>#DIV/0!</v>
          </cell>
          <cell r="AT158" t="e">
            <v>#DIV/0!</v>
          </cell>
          <cell r="AU158" t="e">
            <v>#DIV/0!</v>
          </cell>
        </row>
        <row r="160">
          <cell r="M160">
            <v>-0.55289351851851853</v>
          </cell>
          <cell r="N160">
            <v>-0.56717261904761906</v>
          </cell>
          <cell r="O160">
            <v>-0.63091613247863221</v>
          </cell>
          <cell r="P160">
            <v>-0.56821614583333335</v>
          </cell>
          <cell r="Q160">
            <v>-0.58742476851851955</v>
          </cell>
          <cell r="R160">
            <v>-0.5522259424603182</v>
          </cell>
          <cell r="S160" t="e">
            <v>#DIV/0!</v>
          </cell>
          <cell r="T160">
            <v>-0.53955078125</v>
          </cell>
          <cell r="U160">
            <v>-0.62295826099537044</v>
          </cell>
          <cell r="V160">
            <v>-0.49521846064814817</v>
          </cell>
          <cell r="W160">
            <v>-0.56611328124999993</v>
          </cell>
          <cell r="X160">
            <v>-0.63761207805907172</v>
          </cell>
          <cell r="Y160">
            <v>-0.63042896412037031</v>
          </cell>
          <cell r="Z160" t="e">
            <v>#DIV/0!</v>
          </cell>
          <cell r="AA160">
            <v>-0.51628224206349271</v>
          </cell>
          <cell r="AB160">
            <v>-0.69923321759259338</v>
          </cell>
          <cell r="AC160">
            <v>-0.68770874669312254</v>
          </cell>
          <cell r="AD160">
            <v>-0.59632109788359855</v>
          </cell>
          <cell r="AE160">
            <v>-0.60468336640211717</v>
          </cell>
          <cell r="AF160">
            <v>-0.63698350694444306</v>
          </cell>
          <cell r="AG160" t="e">
            <v>#DIV/0!</v>
          </cell>
          <cell r="AH160">
            <v>-0.51283456307870368</v>
          </cell>
          <cell r="AI160" t="e">
            <v>#DIV/0!</v>
          </cell>
          <cell r="AJ160" t="e">
            <v>#DIV/0!</v>
          </cell>
          <cell r="AK160" t="e">
            <v>#DIV/0!</v>
          </cell>
          <cell r="AL160" t="e">
            <v>#DIV/0!</v>
          </cell>
          <cell r="AM160" t="e">
            <v>#DIV/0!</v>
          </cell>
          <cell r="AN160" t="e">
            <v>#DIV/0!</v>
          </cell>
          <cell r="AO160" t="e">
            <v>#DIV/0!</v>
          </cell>
          <cell r="AP160" t="e">
            <v>#DIV/0!</v>
          </cell>
          <cell r="AQ160" t="e">
            <v>#DIV/0!</v>
          </cell>
          <cell r="AR160" t="e">
            <v>#DIV/0!</v>
          </cell>
          <cell r="AS160" t="e">
            <v>#DIV/0!</v>
          </cell>
          <cell r="AT160" t="e">
            <v>#DIV/0!</v>
          </cell>
          <cell r="AU160" t="e">
            <v>#DIV/0!</v>
          </cell>
        </row>
        <row r="163">
          <cell r="M163">
            <v>-0.44027777777777777</v>
          </cell>
          <cell r="N163">
            <v>-0.46371527777777777</v>
          </cell>
          <cell r="O163">
            <v>-0.3822916666666667</v>
          </cell>
          <cell r="P163">
            <v>-0.4928819444444445</v>
          </cell>
          <cell r="Q163">
            <v>-0.50798611111111114</v>
          </cell>
          <cell r="R163">
            <v>-0.78521505376344081</v>
          </cell>
          <cell r="S163" t="e">
            <v>#DIV/0!</v>
          </cell>
          <cell r="T163" t="e">
            <v>#DIV/0!</v>
          </cell>
          <cell r="U163">
            <v>-0.60338541666666667</v>
          </cell>
          <cell r="V163">
            <v>-0.75572916666666667</v>
          </cell>
          <cell r="W163">
            <v>-0.73923611111111109</v>
          </cell>
          <cell r="X163">
            <v>-0.453125</v>
          </cell>
          <cell r="Y163">
            <v>-0.79811827956989245</v>
          </cell>
          <cell r="Z163" t="e">
            <v>#DIV/0!</v>
          </cell>
          <cell r="AA163">
            <v>-0.60642361111111109</v>
          </cell>
          <cell r="AB163">
            <v>-0.66788194444444438</v>
          </cell>
          <cell r="AC163">
            <v>-0.6664930555555556</v>
          </cell>
          <cell r="AD163">
            <v>-0.79045138888888899</v>
          </cell>
          <cell r="AE163">
            <v>-0.58732638888888888</v>
          </cell>
          <cell r="AF163">
            <v>-0.44354838709677419</v>
          </cell>
          <cell r="AG163" t="e">
            <v>#DIV/0!</v>
          </cell>
          <cell r="AH163">
            <v>-0.72638888888888886</v>
          </cell>
          <cell r="AI163" t="e">
            <v>#DIV/0!</v>
          </cell>
          <cell r="AJ163" t="e">
            <v>#DIV/0!</v>
          </cell>
          <cell r="AK163" t="e">
            <v>#DIV/0!</v>
          </cell>
          <cell r="AL163" t="e">
            <v>#DIV/0!</v>
          </cell>
          <cell r="AM163" t="e">
            <v>#DIV/0!</v>
          </cell>
          <cell r="AN163" t="e">
            <v>#DIV/0!</v>
          </cell>
          <cell r="AO163" t="e">
            <v>#DIV/0!</v>
          </cell>
          <cell r="AP163" t="e">
            <v>#DIV/0!</v>
          </cell>
          <cell r="AQ163" t="e">
            <v>#DIV/0!</v>
          </cell>
          <cell r="AR163" t="e">
            <v>#DIV/0!</v>
          </cell>
          <cell r="AS163" t="e">
            <v>#DIV/0!</v>
          </cell>
          <cell r="AT163" t="e">
            <v>#DIV/0!</v>
          </cell>
          <cell r="AU163" t="e">
            <v>#DIV/0!</v>
          </cell>
        </row>
        <row r="165">
          <cell r="M165">
            <v>-0.81041666666666667</v>
          </cell>
          <cell r="N165">
            <v>-0.68402777777777779</v>
          </cell>
          <cell r="O165">
            <v>-0.69114583333333324</v>
          </cell>
          <cell r="P165">
            <v>-0.78055555555555556</v>
          </cell>
          <cell r="Q165">
            <v>-0.69409722222222225</v>
          </cell>
          <cell r="R165">
            <v>-0.70080645161290323</v>
          </cell>
          <cell r="S165" t="e">
            <v>#DIV/0!</v>
          </cell>
          <cell r="T165">
            <v>-0.57743055555555556</v>
          </cell>
          <cell r="U165">
            <v>-0.74704861111111109</v>
          </cell>
          <cell r="V165">
            <v>-0.27303921568627448</v>
          </cell>
          <cell r="W165">
            <v>-0.55190972222222223</v>
          </cell>
          <cell r="X165">
            <v>-0.61024305555555558</v>
          </cell>
          <cell r="Y165">
            <v>-0.6196236559139785</v>
          </cell>
          <cell r="Z165" t="e">
            <v>#DIV/0!</v>
          </cell>
          <cell r="AA165">
            <v>-0.58159722222222221</v>
          </cell>
          <cell r="AB165">
            <v>-0.55954861111111109</v>
          </cell>
          <cell r="AC165">
            <v>-0.62847222222222221</v>
          </cell>
          <cell r="AD165">
            <v>-0.66840277777777779</v>
          </cell>
          <cell r="AE165">
            <v>-0.71388888888888891</v>
          </cell>
          <cell r="AF165">
            <v>-0.75672043010752688</v>
          </cell>
          <cell r="AG165" t="e">
            <v>#DIV/0!</v>
          </cell>
          <cell r="AH165">
            <v>-0.64322916666666663</v>
          </cell>
          <cell r="AI165" t="e">
            <v>#DIV/0!</v>
          </cell>
          <cell r="AJ165" t="e">
            <v>#DIV/0!</v>
          </cell>
          <cell r="AK165" t="e">
            <v>#DIV/0!</v>
          </cell>
          <cell r="AL165" t="e">
            <v>#DIV/0!</v>
          </cell>
          <cell r="AM165" t="e">
            <v>#DIV/0!</v>
          </cell>
          <cell r="AN165" t="e">
            <v>#DIV/0!</v>
          </cell>
          <cell r="AO165" t="e">
            <v>#DIV/0!</v>
          </cell>
          <cell r="AP165" t="e">
            <v>#DIV/0!</v>
          </cell>
          <cell r="AQ165" t="e">
            <v>#DIV/0!</v>
          </cell>
          <cell r="AR165" t="e">
            <v>#DIV/0!</v>
          </cell>
          <cell r="AS165" t="e">
            <v>#DIV/0!</v>
          </cell>
          <cell r="AT165" t="e">
            <v>#DIV/0!</v>
          </cell>
          <cell r="AU165" t="e">
            <v>#DIV/0!</v>
          </cell>
        </row>
        <row r="167">
          <cell r="M167">
            <v>-0.8027777777777777</v>
          </cell>
          <cell r="N167">
            <v>-0.76111111111111107</v>
          </cell>
          <cell r="O167">
            <v>-0.71562500000000007</v>
          </cell>
          <cell r="P167">
            <v>-0.82204861111111116</v>
          </cell>
          <cell r="Q167">
            <v>-0.79756944444444444</v>
          </cell>
          <cell r="R167">
            <v>-0.84354838709677415</v>
          </cell>
          <cell r="S167" t="e">
            <v>#DIV/0!</v>
          </cell>
          <cell r="T167">
            <v>-0.70833333333333337</v>
          </cell>
          <cell r="U167">
            <v>-0.81267361111111114</v>
          </cell>
          <cell r="V167">
            <v>-0.85972222222222217</v>
          </cell>
          <cell r="W167">
            <v>-0.93732638888888886</v>
          </cell>
          <cell r="X167">
            <v>-0.81267361111111114</v>
          </cell>
          <cell r="Y167">
            <v>-0.6836021505376344</v>
          </cell>
          <cell r="Z167" t="e">
            <v>#DIV/0!</v>
          </cell>
          <cell r="AA167">
            <v>-0.73732638888888891</v>
          </cell>
          <cell r="AB167">
            <v>-0.65156249999999993</v>
          </cell>
          <cell r="AC167">
            <v>-0.53315972222222219</v>
          </cell>
          <cell r="AD167">
            <v>-0.8383680555555556</v>
          </cell>
          <cell r="AE167">
            <v>-0.82374999999999654</v>
          </cell>
          <cell r="AF167">
            <v>-0.75913978494623657</v>
          </cell>
          <cell r="AG167" t="e">
            <v>#DIV/0!</v>
          </cell>
          <cell r="AH167">
            <v>-0.66545138888888888</v>
          </cell>
          <cell r="AI167" t="e">
            <v>#DIV/0!</v>
          </cell>
          <cell r="AJ167" t="e">
            <v>#DIV/0!</v>
          </cell>
          <cell r="AK167" t="e">
            <v>#DIV/0!</v>
          </cell>
          <cell r="AL167" t="e">
            <v>#DIV/0!</v>
          </cell>
          <cell r="AM167" t="e">
            <v>#DIV/0!</v>
          </cell>
          <cell r="AN167" t="e">
            <v>#DIV/0!</v>
          </cell>
          <cell r="AO167" t="e">
            <v>#DIV/0!</v>
          </cell>
          <cell r="AP167" t="e">
            <v>#DIV/0!</v>
          </cell>
          <cell r="AQ167" t="e">
            <v>#DIV/0!</v>
          </cell>
          <cell r="AR167" t="e">
            <v>#DIV/0!</v>
          </cell>
          <cell r="AS167" t="e">
            <v>#DIV/0!</v>
          </cell>
          <cell r="AT167" t="e">
            <v>#DIV/0!</v>
          </cell>
          <cell r="AU167" t="e">
            <v>#DIV/0!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FD8D0-4DB9-4A88-8653-0AE7AE89107A}" name="Tabla158" displayName="Tabla158" ref="B4:K90" totalsRowShown="0" headerRowDxfId="20" dataDxfId="19">
  <tableColumns count="10">
    <tableColumn id="1" xr3:uid="{CDAA4D20-2955-41E2-BD7E-9330E166FFF4}" name="Fecha" dataDxfId="18"/>
    <tableColumn id="9" xr3:uid="{F70BB124-92DE-4024-874C-EE3BA966CDE6}" name="Semana" dataDxfId="17">
      <calculatedColumnFormula>WEEKNUM(Tabla158[[#This Row],[Fecha]])</calculatedColumnFormula>
    </tableColumn>
    <tableColumn id="2" xr3:uid="{FA1D52AD-522F-4EBC-834E-34285D7CD057}" name="Línea" dataDxfId="16"/>
    <tableColumn id="3" xr3:uid="{817EDB5C-DF57-41CB-B733-E61AAABF8CCA}" name="Maquina" dataDxfId="15"/>
    <tableColumn id="4" xr3:uid="{5F1693BE-115D-44D5-AF56-1D264ADD732C}" name="Version" dataDxfId="14"/>
    <tableColumn id="5" xr3:uid="{5338F4E1-D693-43F8-949D-571F0CE39E9A}" name="Piezas OK" dataDxfId="13"/>
    <tableColumn id="6" xr3:uid="{3D66411F-A368-4E6A-B088-6142D3936EC3}" name="Piezas NOK" dataDxfId="12"/>
    <tableColumn id="10" xr3:uid="{C4AB812D-0BAE-4D93-864F-897D5721DC95}" name="Division " dataDxfId="11">
      <calculatedColumnFormula>Tabla158[[#This Row],[Piezas NOK]]/Tabla158[[#This Row],[Piezas OK]]</calculatedColumnFormula>
    </tableColumn>
    <tableColumn id="8" xr3:uid="{F39DB17C-B4B4-4352-B595-2330856B09A4}" name="FTQ" dataDxfId="10">
      <calculatedColumnFormula>ABS(G$3-I5)</calculatedColumnFormula>
    </tableColumn>
    <tableColumn id="12" xr3:uid="{09CB875C-7FE1-4B1A-9517-6670DA724128}" name="%" dataDxfId="9">
      <calculatedColumnFormula>Tabla158[[#This Row],[FTQ]]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80157-341F-4984-9DA8-9308A0C526D5}" name="Tabla2610" displayName="Tabla2610" ref="M4:S84" totalsRowShown="0" headerRowDxfId="8" dataDxfId="7">
  <tableColumns count="7">
    <tableColumn id="1" xr3:uid="{D688BA2E-A64E-4433-85E0-7EDBF854AF60}" name="07/09/2026" dataDxfId="6"/>
    <tableColumn id="7" xr3:uid="{D3EA5E8D-DD68-48AC-8DAC-4A4077839479}" name="37" dataDxfId="5">
      <calculatedColumnFormula>WEEKNUM(Tabla2610[[#This Row],[07/09/2026]])</calculatedColumnFormula>
    </tableColumn>
    <tableColumn id="2" xr3:uid="{2BBDA3EE-1089-4999-82D7-821DAA1CF033}" name="SCCM MMA" dataDxfId="4"/>
    <tableColumn id="3" xr3:uid="{A327B0AF-C947-4083-8F0A-4A5908FD3558}" name="Pruebas de Ruido" dataDxfId="3"/>
    <tableColumn id="4" xr3:uid="{58C9F38E-D89E-450A-9CAA-EFCECBECC74C}" name="12289507" dataDxfId="2"/>
    <tableColumn id="5" xr3:uid="{5C95C72F-200A-46B3-A6FC-20E7D88A7BCD}" name="Defecto" dataDxfId="1"/>
    <tableColumn id="6" xr3:uid="{33109690-8A43-4F38-8F52-FD73CBA9F32F}" name="Cantida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B645-8848-474A-88BA-FA9209B01B4F}">
  <sheetPr codeName="Sheet1"/>
  <dimension ref="A1:V824"/>
  <sheetViews>
    <sheetView tabSelected="1" zoomScale="84" zoomScaleNormal="110" workbookViewId="0">
      <selection activeCell="T82" sqref="T82"/>
    </sheetView>
  </sheetViews>
  <sheetFormatPr defaultColWidth="11.5546875" defaultRowHeight="14.4" x14ac:dyDescent="0.3"/>
  <cols>
    <col min="1" max="1" width="3.77734375" customWidth="1"/>
    <col min="2" max="2" width="13.21875" style="1" customWidth="1"/>
    <col min="3" max="4" width="11.5546875" style="1"/>
    <col min="5" max="5" width="22.21875" style="1" customWidth="1"/>
    <col min="6" max="7" width="11.5546875" style="1"/>
    <col min="8" max="8" width="12" style="1" customWidth="1"/>
    <col min="9" max="9" width="12" style="1" hidden="1" customWidth="1"/>
    <col min="10" max="10" width="11.5546875" style="2" hidden="1" customWidth="1"/>
    <col min="11" max="11" width="11.5546875" style="2"/>
    <col min="12" max="12" width="2.44140625" customWidth="1"/>
    <col min="13" max="13" width="13.88671875" style="1" customWidth="1"/>
    <col min="14" max="14" width="10.5546875" style="1" customWidth="1"/>
    <col min="15" max="15" width="12.44140625" style="1" customWidth="1"/>
    <col min="16" max="16" width="23" style="1" customWidth="1"/>
    <col min="17" max="17" width="11.77734375" style="1" bestFit="1" customWidth="1"/>
    <col min="18" max="18" width="70.21875" style="1" customWidth="1"/>
    <col min="19" max="19" width="13" style="1" bestFit="1" customWidth="1"/>
  </cols>
  <sheetData>
    <row r="1" spans="2:19" ht="14.4" customHeight="1" x14ac:dyDescent="0.3">
      <c r="B1" s="12" t="s">
        <v>14</v>
      </c>
      <c r="C1" s="12"/>
      <c r="D1" s="12"/>
      <c r="E1" s="12"/>
      <c r="F1" s="12"/>
      <c r="G1" s="12"/>
      <c r="H1" s="12"/>
      <c r="I1" s="12"/>
      <c r="J1" s="12"/>
      <c r="K1" s="6"/>
      <c r="M1" s="12" t="s">
        <v>13</v>
      </c>
      <c r="N1" s="12"/>
      <c r="O1" s="12"/>
      <c r="P1" s="12"/>
      <c r="Q1" s="12"/>
      <c r="R1" s="12"/>
      <c r="S1" s="12"/>
    </row>
    <row r="2" spans="2:19" ht="14.4" customHeight="1" x14ac:dyDescent="0.3">
      <c r="B2" s="12"/>
      <c r="C2" s="12"/>
      <c r="D2" s="12"/>
      <c r="E2" s="12"/>
      <c r="F2" s="12"/>
      <c r="G2" s="12"/>
      <c r="H2" s="12"/>
      <c r="I2" s="12"/>
      <c r="J2" s="12"/>
      <c r="K2" s="6"/>
      <c r="M2" s="12"/>
      <c r="N2" s="12"/>
      <c r="O2" s="12"/>
      <c r="P2" s="12"/>
      <c r="Q2" s="12"/>
      <c r="R2" s="12"/>
      <c r="S2" s="12"/>
    </row>
    <row r="3" spans="2:19" x14ac:dyDescent="0.3">
      <c r="G3" s="1">
        <v>1</v>
      </c>
      <c r="H3" s="1">
        <v>100</v>
      </c>
    </row>
    <row r="4" spans="2:19" x14ac:dyDescent="0.3">
      <c r="B4" s="1" t="s">
        <v>7</v>
      </c>
      <c r="C4" s="1" t="s">
        <v>6</v>
      </c>
      <c r="D4" s="1" t="s">
        <v>5</v>
      </c>
      <c r="E4" s="1" t="s">
        <v>4</v>
      </c>
      <c r="F4" s="1" t="s">
        <v>3</v>
      </c>
      <c r="G4" s="1" t="s">
        <v>12</v>
      </c>
      <c r="H4" s="1" t="s">
        <v>11</v>
      </c>
      <c r="I4" s="1" t="s">
        <v>10</v>
      </c>
      <c r="J4" s="2" t="s">
        <v>9</v>
      </c>
      <c r="K4" s="2" t="s">
        <v>8</v>
      </c>
      <c r="M4" s="4" t="s">
        <v>70</v>
      </c>
      <c r="N4" s="13" t="s">
        <v>71</v>
      </c>
      <c r="O4" s="1" t="s">
        <v>30</v>
      </c>
      <c r="P4" s="1" t="s">
        <v>60</v>
      </c>
      <c r="Q4" s="9" t="s">
        <v>72</v>
      </c>
      <c r="R4" s="1" t="s">
        <v>2</v>
      </c>
      <c r="S4" s="1" t="s">
        <v>1</v>
      </c>
    </row>
    <row r="5" spans="2:19" x14ac:dyDescent="0.3">
      <c r="B5" s="4">
        <v>46224</v>
      </c>
      <c r="C5" s="1">
        <f>WEEKNUM(Tabla158[[#This Row],[Fecha]])</f>
        <v>30</v>
      </c>
      <c r="D5" s="1" t="s">
        <v>15</v>
      </c>
      <c r="E5" s="1">
        <v>100</v>
      </c>
      <c r="F5" s="9">
        <v>10532587</v>
      </c>
      <c r="G5" s="1">
        <v>17</v>
      </c>
      <c r="H5" s="1">
        <v>0</v>
      </c>
      <c r="I5" s="3">
        <f>Tabla158[[#This Row],[Piezas NOK]]/Tabla158[[#This Row],[Piezas OK]]</f>
        <v>0</v>
      </c>
      <c r="J5" s="1">
        <f t="shared" ref="J5:J9" si="0">ABS(G$3-I5)</f>
        <v>1</v>
      </c>
      <c r="K5" s="5">
        <f>Tabla158[[#This Row],[FTQ]]</f>
        <v>1</v>
      </c>
      <c r="M5" s="4">
        <v>46224</v>
      </c>
      <c r="N5" s="1">
        <f>WEEKNUM(Tabla2610[[#This Row],[07/09/2026]])</f>
        <v>30</v>
      </c>
      <c r="O5" s="1" t="s">
        <v>15</v>
      </c>
      <c r="P5" s="1">
        <v>200</v>
      </c>
      <c r="Q5" s="9">
        <v>10532587</v>
      </c>
      <c r="R5" s="1" t="s">
        <v>17</v>
      </c>
      <c r="S5" s="1">
        <v>2</v>
      </c>
    </row>
    <row r="6" spans="2:19" x14ac:dyDescent="0.3">
      <c r="B6" s="4">
        <v>46224</v>
      </c>
      <c r="C6" s="1">
        <f>WEEKNUM(Tabla158[[#This Row],[Fecha]])</f>
        <v>30</v>
      </c>
      <c r="D6" s="1" t="s">
        <v>15</v>
      </c>
      <c r="E6" s="1">
        <v>150</v>
      </c>
      <c r="F6" s="9">
        <v>10532587</v>
      </c>
      <c r="G6" s="1">
        <v>17</v>
      </c>
      <c r="H6" s="1">
        <v>0</v>
      </c>
      <c r="I6" s="3">
        <f>Tabla158[[#This Row],[Piezas NOK]]/Tabla158[[#This Row],[Piezas OK]]</f>
        <v>0</v>
      </c>
      <c r="J6" s="1">
        <f t="shared" si="0"/>
        <v>1</v>
      </c>
      <c r="K6" s="5">
        <f>Tabla158[[#This Row],[FTQ]]</f>
        <v>1</v>
      </c>
      <c r="M6" s="4">
        <v>46226</v>
      </c>
      <c r="N6" s="1">
        <f>WEEKNUM(Tabla2610[[#This Row],[07/09/2026]])</f>
        <v>30</v>
      </c>
      <c r="O6" s="1" t="s">
        <v>15</v>
      </c>
      <c r="P6" s="1">
        <v>150</v>
      </c>
      <c r="Q6" s="9">
        <v>10532587</v>
      </c>
      <c r="R6" s="1" t="s">
        <v>18</v>
      </c>
      <c r="S6" s="1">
        <v>1</v>
      </c>
    </row>
    <row r="7" spans="2:19" x14ac:dyDescent="0.3">
      <c r="B7" s="4">
        <v>46224</v>
      </c>
      <c r="C7" s="1">
        <f>WEEKNUM(Tabla158[[#This Row],[Fecha]])</f>
        <v>30</v>
      </c>
      <c r="D7" s="1" t="s">
        <v>15</v>
      </c>
      <c r="E7" s="1">
        <v>200</v>
      </c>
      <c r="F7" s="9">
        <v>10532587</v>
      </c>
      <c r="G7" s="1">
        <v>17</v>
      </c>
      <c r="H7" s="1">
        <v>2</v>
      </c>
      <c r="I7" s="3">
        <f>Tabla158[[#This Row],[Piezas NOK]]/Tabla158[[#This Row],[Piezas OK]]</f>
        <v>0.11764705882352941</v>
      </c>
      <c r="J7" s="1">
        <f t="shared" si="0"/>
        <v>0.88235294117647056</v>
      </c>
      <c r="K7" s="5">
        <f>Tabla158[[#This Row],[FTQ]]</f>
        <v>0.88235294117647056</v>
      </c>
      <c r="M7" s="4">
        <v>46226</v>
      </c>
      <c r="N7" s="1">
        <f>WEEKNUM(Tabla2610[[#This Row],[07/09/2026]])</f>
        <v>30</v>
      </c>
      <c r="O7" s="1" t="s">
        <v>15</v>
      </c>
      <c r="P7" s="1">
        <v>150</v>
      </c>
      <c r="Q7" s="9">
        <v>10532587</v>
      </c>
      <c r="R7" s="1" t="s">
        <v>19</v>
      </c>
      <c r="S7" s="1">
        <v>1</v>
      </c>
    </row>
    <row r="8" spans="2:19" x14ac:dyDescent="0.3">
      <c r="B8" s="4">
        <v>46224</v>
      </c>
      <c r="C8" s="1">
        <f>WEEKNUM(Tabla158[[#This Row],[Fecha]])</f>
        <v>30</v>
      </c>
      <c r="D8" s="1" t="s">
        <v>15</v>
      </c>
      <c r="E8" s="1">
        <v>300</v>
      </c>
      <c r="F8" s="9">
        <v>10532587</v>
      </c>
      <c r="G8" s="1">
        <v>17</v>
      </c>
      <c r="H8" s="1">
        <v>0</v>
      </c>
      <c r="I8" s="3">
        <f>Tabla158[[#This Row],[Piezas NOK]]/Tabla158[[#This Row],[Piezas OK]]</f>
        <v>0</v>
      </c>
      <c r="J8" s="1">
        <f t="shared" si="0"/>
        <v>1</v>
      </c>
      <c r="K8" s="5">
        <f>Tabla158[[#This Row],[FTQ]]</f>
        <v>1</v>
      </c>
      <c r="M8" s="4">
        <v>46226</v>
      </c>
      <c r="N8" s="1">
        <f>WEEKNUM(Tabla2610[[#This Row],[07/09/2026]])</f>
        <v>30</v>
      </c>
      <c r="O8" s="1" t="s">
        <v>15</v>
      </c>
      <c r="P8" s="1">
        <v>150</v>
      </c>
      <c r="Q8" s="9">
        <v>10532587</v>
      </c>
      <c r="R8" s="1" t="s">
        <v>20</v>
      </c>
      <c r="S8" s="1">
        <v>7</v>
      </c>
    </row>
    <row r="9" spans="2:19" x14ac:dyDescent="0.3">
      <c r="B9" s="4">
        <v>46226</v>
      </c>
      <c r="C9" s="1">
        <f>WEEKNUM(Tabla158[[#This Row],[Fecha]])</f>
        <v>30</v>
      </c>
      <c r="D9" s="1" t="s">
        <v>15</v>
      </c>
      <c r="E9" s="1">
        <v>100</v>
      </c>
      <c r="F9" s="9">
        <v>10532587</v>
      </c>
      <c r="G9" s="1">
        <v>77</v>
      </c>
      <c r="H9" s="1">
        <v>0</v>
      </c>
      <c r="I9" s="3">
        <f>Tabla158[[#This Row],[Piezas NOK]]/Tabla158[[#This Row],[Piezas OK]]</f>
        <v>0</v>
      </c>
      <c r="J9" s="1">
        <f t="shared" si="0"/>
        <v>1</v>
      </c>
      <c r="K9" s="5">
        <f>Tabla158[[#This Row],[FTQ]]</f>
        <v>1</v>
      </c>
      <c r="M9" s="4">
        <v>46226</v>
      </c>
      <c r="N9" s="1">
        <f>WEEKNUM(Tabla2610[[#This Row],[07/09/2026]])</f>
        <v>30</v>
      </c>
      <c r="O9" s="1" t="s">
        <v>15</v>
      </c>
      <c r="P9" s="1">
        <v>200</v>
      </c>
      <c r="Q9" s="9">
        <v>10532587</v>
      </c>
      <c r="R9" s="1" t="s">
        <v>21</v>
      </c>
      <c r="S9" s="1">
        <v>2</v>
      </c>
    </row>
    <row r="10" spans="2:19" x14ac:dyDescent="0.3">
      <c r="B10" s="4">
        <v>46226</v>
      </c>
      <c r="C10" s="1">
        <f>WEEKNUM(Tabla158[[#This Row],[Fecha]])</f>
        <v>30</v>
      </c>
      <c r="D10" s="1" t="s">
        <v>15</v>
      </c>
      <c r="E10" s="1">
        <v>150</v>
      </c>
      <c r="F10" s="9">
        <v>10532587</v>
      </c>
      <c r="G10" s="1">
        <v>71</v>
      </c>
      <c r="H10" s="1">
        <v>9</v>
      </c>
      <c r="I10" s="3">
        <f>Tabla158[[#This Row],[Piezas NOK]]/Tabla158[[#This Row],[Piezas OK]]</f>
        <v>0.12676056338028169</v>
      </c>
      <c r="J10" s="1">
        <f t="shared" ref="J10:J12" si="1">ABS(G$3-I10)</f>
        <v>0.87323943661971826</v>
      </c>
      <c r="K10" s="5">
        <f>Tabla158[[#This Row],[FTQ]]</f>
        <v>0.87323943661971826</v>
      </c>
      <c r="M10" s="4">
        <v>46226</v>
      </c>
      <c r="N10" s="1">
        <f>WEEKNUM(Tabla2610[[#This Row],[07/09/2026]])</f>
        <v>30</v>
      </c>
      <c r="O10" s="1" t="s">
        <v>15</v>
      </c>
      <c r="P10" s="1">
        <v>200</v>
      </c>
      <c r="Q10" s="9">
        <v>10532587</v>
      </c>
      <c r="R10" s="1" t="s">
        <v>17</v>
      </c>
      <c r="S10" s="1">
        <v>2</v>
      </c>
    </row>
    <row r="11" spans="2:19" x14ac:dyDescent="0.3">
      <c r="B11" s="4">
        <v>46226</v>
      </c>
      <c r="C11" s="1">
        <f>WEEKNUM(Tabla158[[#This Row],[Fecha]])</f>
        <v>30</v>
      </c>
      <c r="D11" s="1" t="s">
        <v>15</v>
      </c>
      <c r="E11" s="1">
        <v>200</v>
      </c>
      <c r="F11" s="9">
        <v>10532587</v>
      </c>
      <c r="G11" s="1">
        <v>67</v>
      </c>
      <c r="H11" s="1">
        <v>4</v>
      </c>
      <c r="I11" s="3">
        <f>Tabla158[[#This Row],[Piezas NOK]]/Tabla158[[#This Row],[Piezas OK]]</f>
        <v>5.9701492537313432E-2</v>
      </c>
      <c r="J11" s="1">
        <f t="shared" si="1"/>
        <v>0.94029850746268662</v>
      </c>
      <c r="K11" s="5">
        <f>Tabla158[[#This Row],[FTQ]]</f>
        <v>0.94029850746268662</v>
      </c>
      <c r="M11" s="4">
        <v>46226</v>
      </c>
      <c r="N11" s="1">
        <f>WEEKNUM(Tabla2610[[#This Row],[07/09/2026]])</f>
        <v>30</v>
      </c>
      <c r="O11" s="1" t="s">
        <v>15</v>
      </c>
      <c r="P11" s="1">
        <v>300</v>
      </c>
      <c r="Q11" s="9">
        <v>10532587</v>
      </c>
      <c r="R11" s="1" t="s">
        <v>22</v>
      </c>
      <c r="S11" s="1">
        <v>13</v>
      </c>
    </row>
    <row r="12" spans="2:19" x14ac:dyDescent="0.3">
      <c r="B12" s="4">
        <v>46226</v>
      </c>
      <c r="C12" s="1">
        <f>WEEKNUM(Tabla158[[#This Row],[Fecha]])</f>
        <v>30</v>
      </c>
      <c r="D12" s="1" t="s">
        <v>15</v>
      </c>
      <c r="E12" s="1">
        <v>300</v>
      </c>
      <c r="F12" s="9">
        <v>10532587</v>
      </c>
      <c r="G12" s="1">
        <v>46</v>
      </c>
      <c r="H12" s="1">
        <v>36</v>
      </c>
      <c r="I12" s="3">
        <f>Tabla158[[#This Row],[Piezas NOK]]/Tabla158[[#This Row],[Piezas OK]]</f>
        <v>0.78260869565217395</v>
      </c>
      <c r="J12" s="1">
        <f t="shared" si="1"/>
        <v>0.21739130434782605</v>
      </c>
      <c r="K12" s="5">
        <f>Tabla158[[#This Row],[FTQ]]</f>
        <v>0.21739130434782605</v>
      </c>
      <c r="M12" s="4">
        <v>46226</v>
      </c>
      <c r="N12" s="1">
        <f>WEEKNUM(Tabla2610[[#This Row],[07/09/2026]])</f>
        <v>30</v>
      </c>
      <c r="O12" s="1" t="s">
        <v>15</v>
      </c>
      <c r="P12" s="1" t="s">
        <v>16</v>
      </c>
      <c r="Q12" s="9">
        <v>10532587</v>
      </c>
      <c r="R12" s="1" t="s">
        <v>23</v>
      </c>
      <c r="S12" s="1">
        <v>1</v>
      </c>
    </row>
    <row r="13" spans="2:19" x14ac:dyDescent="0.3">
      <c r="B13" s="4">
        <v>46226</v>
      </c>
      <c r="C13" s="1">
        <f>WEEKNUM(Tabla158[[#This Row],[Fecha]])</f>
        <v>30</v>
      </c>
      <c r="D13" s="1" t="s">
        <v>15</v>
      </c>
      <c r="E13" s="1" t="s">
        <v>16</v>
      </c>
      <c r="F13" s="9">
        <v>10532587</v>
      </c>
      <c r="G13" s="1">
        <v>46</v>
      </c>
      <c r="H13" s="1">
        <v>11</v>
      </c>
      <c r="I13" s="3">
        <f>Tabla158[[#This Row],[Piezas NOK]]/Tabla158[[#This Row],[Piezas OK]]</f>
        <v>0.2391304347826087</v>
      </c>
      <c r="J13" s="1">
        <f>ABS(G$3-I13)</f>
        <v>0.76086956521739135</v>
      </c>
      <c r="K13" s="5">
        <f>Tabla158[[#This Row],[FTQ]]</f>
        <v>0.76086956521739135</v>
      </c>
      <c r="M13" s="4">
        <v>46226</v>
      </c>
      <c r="N13" s="1">
        <f>WEEKNUM(Tabla2610[[#This Row],[07/09/2026]])</f>
        <v>30</v>
      </c>
      <c r="O13" s="1" t="s">
        <v>15</v>
      </c>
      <c r="P13" s="1" t="s">
        <v>16</v>
      </c>
      <c r="Q13" s="9">
        <v>10532587</v>
      </c>
      <c r="R13" s="1" t="s">
        <v>24</v>
      </c>
      <c r="S13" s="1">
        <v>1</v>
      </c>
    </row>
    <row r="14" spans="2:19" x14ac:dyDescent="0.3">
      <c r="B14" s="4">
        <v>46230</v>
      </c>
      <c r="C14" s="1">
        <f>WEEKNUM(Tabla158[[#This Row],[Fecha]])</f>
        <v>31</v>
      </c>
      <c r="D14" s="1" t="s">
        <v>30</v>
      </c>
      <c r="E14" s="1">
        <v>100</v>
      </c>
      <c r="F14" s="9">
        <v>12289497</v>
      </c>
      <c r="G14" s="1">
        <v>46</v>
      </c>
      <c r="H14" s="1">
        <v>0</v>
      </c>
      <c r="I14" s="3">
        <f>Tabla158[[#This Row],[Piezas NOK]]/Tabla158[[#This Row],[Piezas OK]]</f>
        <v>0</v>
      </c>
      <c r="J14" s="1">
        <f t="shared" ref="J14:J24" si="2">ABS(G$3-I14)</f>
        <v>1</v>
      </c>
      <c r="K14" s="5">
        <f>Tabla158[[#This Row],[FTQ]]</f>
        <v>1</v>
      </c>
      <c r="M14" s="4">
        <v>46226</v>
      </c>
      <c r="N14" s="1">
        <f>WEEKNUM(Tabla2610[[#This Row],[07/09/2026]])</f>
        <v>30</v>
      </c>
      <c r="O14" s="1" t="s">
        <v>15</v>
      </c>
      <c r="P14" s="1" t="s">
        <v>16</v>
      </c>
      <c r="Q14" s="9">
        <v>10532587</v>
      </c>
      <c r="R14" s="1" t="s">
        <v>25</v>
      </c>
      <c r="S14" s="1">
        <v>3</v>
      </c>
    </row>
    <row r="15" spans="2:19" x14ac:dyDescent="0.3">
      <c r="B15" s="4">
        <v>46230</v>
      </c>
      <c r="C15" s="1">
        <f>WEEKNUM(Tabla158[[#This Row],[Fecha]])</f>
        <v>31</v>
      </c>
      <c r="D15" s="1" t="s">
        <v>30</v>
      </c>
      <c r="E15" s="1">
        <v>200</v>
      </c>
      <c r="F15" s="9">
        <v>12289497</v>
      </c>
      <c r="G15" s="1">
        <v>45</v>
      </c>
      <c r="H15" s="1">
        <v>18</v>
      </c>
      <c r="I15" s="3">
        <f>Tabla158[[#This Row],[Piezas NOK]]/Tabla158[[#This Row],[Piezas OK]]</f>
        <v>0.4</v>
      </c>
      <c r="J15" s="1">
        <f t="shared" si="2"/>
        <v>0.6</v>
      </c>
      <c r="K15" s="5">
        <f>Tabla158[[#This Row],[FTQ]]</f>
        <v>0.6</v>
      </c>
      <c r="M15" s="4">
        <v>46226</v>
      </c>
      <c r="N15" s="1">
        <f>WEEKNUM(Tabla2610[[#This Row],[07/09/2026]])</f>
        <v>30</v>
      </c>
      <c r="O15" s="1" t="s">
        <v>15</v>
      </c>
      <c r="P15" s="1" t="s">
        <v>16</v>
      </c>
      <c r="Q15" s="9">
        <v>10532587</v>
      </c>
      <c r="R15" s="1" t="s">
        <v>26</v>
      </c>
      <c r="S15" s="1">
        <v>2</v>
      </c>
    </row>
    <row r="16" spans="2:19" x14ac:dyDescent="0.3">
      <c r="B16" s="4">
        <v>46230</v>
      </c>
      <c r="C16" s="1">
        <f>WEEKNUM(Tabla158[[#This Row],[Fecha]])</f>
        <v>31</v>
      </c>
      <c r="D16" s="1" t="s">
        <v>30</v>
      </c>
      <c r="E16" s="1">
        <v>300</v>
      </c>
      <c r="F16" s="9">
        <v>12289497</v>
      </c>
      <c r="G16" s="1">
        <v>45</v>
      </c>
      <c r="H16" s="1">
        <v>0</v>
      </c>
      <c r="I16" s="3">
        <f>Tabla158[[#This Row],[Piezas NOK]]/Tabla158[[#This Row],[Piezas OK]]</f>
        <v>0</v>
      </c>
      <c r="J16" s="1">
        <f t="shared" si="2"/>
        <v>1</v>
      </c>
      <c r="K16" s="5">
        <f>Tabla158[[#This Row],[FTQ]]</f>
        <v>1</v>
      </c>
      <c r="M16" s="4">
        <v>46226</v>
      </c>
      <c r="N16" s="1">
        <f>WEEKNUM(Tabla2610[[#This Row],[07/09/2026]])</f>
        <v>30</v>
      </c>
      <c r="O16" s="1" t="s">
        <v>15</v>
      </c>
      <c r="P16" s="1" t="s">
        <v>16</v>
      </c>
      <c r="Q16" s="9">
        <v>10532587</v>
      </c>
      <c r="R16" s="1" t="s">
        <v>27</v>
      </c>
      <c r="S16" s="1">
        <v>1</v>
      </c>
    </row>
    <row r="17" spans="2:19" x14ac:dyDescent="0.3">
      <c r="B17" s="4">
        <v>46230</v>
      </c>
      <c r="C17" s="1">
        <f>WEEKNUM(Tabla158[[#This Row],[Fecha]])</f>
        <v>31</v>
      </c>
      <c r="D17" s="1" t="s">
        <v>30</v>
      </c>
      <c r="E17" s="1">
        <v>400</v>
      </c>
      <c r="F17" s="9">
        <v>12289497</v>
      </c>
      <c r="G17" s="1">
        <v>45</v>
      </c>
      <c r="H17" s="1">
        <v>0</v>
      </c>
      <c r="I17" s="3">
        <f>Tabla158[[#This Row],[Piezas NOK]]/Tabla158[[#This Row],[Piezas OK]]</f>
        <v>0</v>
      </c>
      <c r="J17" s="1">
        <f t="shared" si="2"/>
        <v>1</v>
      </c>
      <c r="K17" s="5">
        <f>Tabla158[[#This Row],[FTQ]]</f>
        <v>1</v>
      </c>
      <c r="M17" s="4">
        <v>46226</v>
      </c>
      <c r="N17" s="1">
        <f>WEEKNUM(Tabla2610[[#This Row],[07/09/2026]])</f>
        <v>30</v>
      </c>
      <c r="O17" s="1" t="s">
        <v>15</v>
      </c>
      <c r="P17" s="1" t="s">
        <v>16</v>
      </c>
      <c r="Q17" s="9">
        <v>10532587</v>
      </c>
      <c r="R17" s="1" t="s">
        <v>28</v>
      </c>
      <c r="S17" s="1">
        <v>1</v>
      </c>
    </row>
    <row r="18" spans="2:19" x14ac:dyDescent="0.3">
      <c r="B18" s="4">
        <v>46230</v>
      </c>
      <c r="C18" s="1">
        <f>WEEKNUM(Tabla158[[#This Row],[Fecha]])</f>
        <v>31</v>
      </c>
      <c r="D18" s="1" t="s">
        <v>30</v>
      </c>
      <c r="E18" s="1">
        <v>500</v>
      </c>
      <c r="F18" s="9">
        <v>12289497</v>
      </c>
      <c r="G18" s="1">
        <v>13</v>
      </c>
      <c r="H18" s="1">
        <v>0</v>
      </c>
      <c r="I18" s="3">
        <f>Tabla158[[#This Row],[Piezas NOK]]/Tabla158[[#This Row],[Piezas OK]]</f>
        <v>0</v>
      </c>
      <c r="J18" s="1">
        <f t="shared" si="2"/>
        <v>1</v>
      </c>
      <c r="K18" s="5">
        <f>Tabla158[[#This Row],[FTQ]]</f>
        <v>1</v>
      </c>
      <c r="M18" s="4">
        <v>46226</v>
      </c>
      <c r="N18" s="1">
        <f>WEEKNUM(Tabla2610[[#This Row],[07/09/2026]])</f>
        <v>30</v>
      </c>
      <c r="O18" s="1" t="s">
        <v>15</v>
      </c>
      <c r="P18" s="1" t="s">
        <v>16</v>
      </c>
      <c r="Q18" s="9">
        <v>10532587</v>
      </c>
      <c r="R18" s="1" t="s">
        <v>29</v>
      </c>
      <c r="S18" s="1">
        <v>2</v>
      </c>
    </row>
    <row r="19" spans="2:19" x14ac:dyDescent="0.3">
      <c r="B19" s="4">
        <v>46230</v>
      </c>
      <c r="C19" s="1">
        <f>WEEKNUM(Tabla158[[#This Row],[Fecha]])</f>
        <v>31</v>
      </c>
      <c r="D19" s="1" t="s">
        <v>30</v>
      </c>
      <c r="E19" s="1">
        <v>600</v>
      </c>
      <c r="F19" s="9">
        <v>12289497</v>
      </c>
      <c r="G19" s="1">
        <v>9</v>
      </c>
      <c r="H19" s="1">
        <v>0</v>
      </c>
      <c r="I19" s="3">
        <f>Tabla158[[#This Row],[Piezas NOK]]/Tabla158[[#This Row],[Piezas OK]]</f>
        <v>0</v>
      </c>
      <c r="J19" s="1">
        <f t="shared" si="2"/>
        <v>1</v>
      </c>
      <c r="K19" s="5">
        <f>Tabla158[[#This Row],[FTQ]]</f>
        <v>1</v>
      </c>
      <c r="M19" s="4">
        <v>46230</v>
      </c>
      <c r="N19" s="1">
        <f>WEEKNUM(Tabla2610[[#This Row],[07/09/2026]])</f>
        <v>31</v>
      </c>
      <c r="O19" s="1" t="s">
        <v>30</v>
      </c>
      <c r="P19" s="1">
        <v>100</v>
      </c>
      <c r="Q19" s="9">
        <v>12289497</v>
      </c>
      <c r="R19" s="1" t="s">
        <v>31</v>
      </c>
      <c r="S19" s="1">
        <v>230</v>
      </c>
    </row>
    <row r="20" spans="2:19" x14ac:dyDescent="0.3">
      <c r="B20" s="4">
        <v>46231</v>
      </c>
      <c r="C20" s="1">
        <f>WEEKNUM(Tabla158[[#This Row],[Fecha]])</f>
        <v>31</v>
      </c>
      <c r="D20" s="1" t="s">
        <v>30</v>
      </c>
      <c r="E20" s="1">
        <v>100</v>
      </c>
      <c r="F20" s="9">
        <v>12289497</v>
      </c>
      <c r="G20" s="1">
        <v>9</v>
      </c>
      <c r="H20" s="1">
        <v>2</v>
      </c>
      <c r="I20" s="3">
        <f>Tabla158[[#This Row],[Piezas NOK]]/Tabla158[[#This Row],[Piezas OK]]</f>
        <v>0.22222222222222221</v>
      </c>
      <c r="J20" s="1">
        <f t="shared" si="2"/>
        <v>0.77777777777777779</v>
      </c>
      <c r="K20" s="5">
        <f>Tabla158[[#This Row],[FTQ]]</f>
        <v>0.77777777777777779</v>
      </c>
      <c r="M20" s="4">
        <v>46230</v>
      </c>
      <c r="N20" s="1">
        <f>WEEKNUM(Tabla2610[[#This Row],[07/09/2026]])</f>
        <v>31</v>
      </c>
      <c r="O20" s="1" t="s">
        <v>30</v>
      </c>
      <c r="P20" s="1">
        <v>200</v>
      </c>
      <c r="Q20" s="9">
        <v>12289497</v>
      </c>
      <c r="R20" s="1" t="s">
        <v>41</v>
      </c>
      <c r="S20" s="1">
        <v>6</v>
      </c>
    </row>
    <row r="21" spans="2:19" x14ac:dyDescent="0.3">
      <c r="B21" s="4">
        <v>46231</v>
      </c>
      <c r="C21" s="1">
        <f>WEEKNUM(Tabla158[[#This Row],[Fecha]])</f>
        <v>31</v>
      </c>
      <c r="D21" s="1" t="s">
        <v>30</v>
      </c>
      <c r="E21" s="1">
        <v>200</v>
      </c>
      <c r="F21" s="9">
        <v>12289497</v>
      </c>
      <c r="G21" s="1">
        <v>9</v>
      </c>
      <c r="H21" s="1">
        <v>0</v>
      </c>
      <c r="I21" s="3">
        <f>Tabla158[[#This Row],[Piezas NOK]]/Tabla158[[#This Row],[Piezas OK]]</f>
        <v>0</v>
      </c>
      <c r="J21" s="1">
        <f t="shared" si="2"/>
        <v>1</v>
      </c>
      <c r="K21" s="5">
        <f>Tabla158[[#This Row],[FTQ]]</f>
        <v>1</v>
      </c>
      <c r="M21" s="4">
        <v>46230</v>
      </c>
      <c r="N21" s="1">
        <f>WEEKNUM(Tabla2610[[#This Row],[07/09/2026]])</f>
        <v>31</v>
      </c>
      <c r="O21" s="1" t="s">
        <v>30</v>
      </c>
      <c r="P21" s="1">
        <v>200</v>
      </c>
      <c r="Q21" s="9">
        <v>12289497</v>
      </c>
      <c r="R21" s="1" t="s">
        <v>62</v>
      </c>
      <c r="S21" s="1">
        <v>12</v>
      </c>
    </row>
    <row r="22" spans="2:19" x14ac:dyDescent="0.3">
      <c r="B22" s="4">
        <v>46231</v>
      </c>
      <c r="C22" s="1">
        <f>WEEKNUM(Tabla158[[#This Row],[Fecha]])</f>
        <v>31</v>
      </c>
      <c r="D22" s="1" t="s">
        <v>30</v>
      </c>
      <c r="E22" s="1">
        <v>300</v>
      </c>
      <c r="F22" s="9">
        <v>12289497</v>
      </c>
      <c r="G22" s="1">
        <v>46</v>
      </c>
      <c r="H22" s="1">
        <v>13</v>
      </c>
      <c r="I22" s="3">
        <f>Tabla158[[#This Row],[Piezas NOK]]/Tabla158[[#This Row],[Piezas OK]]</f>
        <v>0.28260869565217389</v>
      </c>
      <c r="J22" s="1">
        <f t="shared" si="2"/>
        <v>0.71739130434782616</v>
      </c>
      <c r="K22" s="5">
        <f>Tabla158[[#This Row],[FTQ]]</f>
        <v>0.71739130434782616</v>
      </c>
      <c r="M22" s="4">
        <v>46231</v>
      </c>
      <c r="N22" s="1">
        <f>WEEKNUM(Tabla2610[[#This Row],[07/09/2026]])</f>
        <v>31</v>
      </c>
      <c r="O22" s="1" t="s">
        <v>30</v>
      </c>
      <c r="P22" s="1">
        <v>100</v>
      </c>
      <c r="Q22" s="9">
        <v>12289497</v>
      </c>
      <c r="R22" s="1" t="s">
        <v>31</v>
      </c>
      <c r="S22" s="1">
        <v>2</v>
      </c>
    </row>
    <row r="23" spans="2:19" x14ac:dyDescent="0.3">
      <c r="B23" s="4">
        <v>46231</v>
      </c>
      <c r="C23" s="1">
        <f>WEEKNUM(Tabla158[[#This Row],[Fecha]])</f>
        <v>31</v>
      </c>
      <c r="D23" s="1" t="s">
        <v>30</v>
      </c>
      <c r="E23" s="1">
        <v>400</v>
      </c>
      <c r="F23" s="9">
        <v>12289497</v>
      </c>
      <c r="G23" s="1">
        <v>9</v>
      </c>
      <c r="H23" s="1">
        <v>0</v>
      </c>
      <c r="I23" s="3">
        <f>Tabla158[[#This Row],[Piezas NOK]]/Tabla158[[#This Row],[Piezas OK]]</f>
        <v>0</v>
      </c>
      <c r="J23" s="1">
        <f t="shared" si="2"/>
        <v>1</v>
      </c>
      <c r="K23" s="5">
        <f>Tabla158[[#This Row],[FTQ]]</f>
        <v>1</v>
      </c>
      <c r="M23" s="4">
        <v>46231</v>
      </c>
      <c r="N23" s="1">
        <f>WEEKNUM(Tabla2610[[#This Row],[07/09/2026]])</f>
        <v>31</v>
      </c>
      <c r="O23" s="1" t="s">
        <v>30</v>
      </c>
      <c r="P23" s="1">
        <v>200</v>
      </c>
      <c r="Q23" s="9">
        <v>12289497</v>
      </c>
      <c r="R23" s="1" t="s">
        <v>32</v>
      </c>
      <c r="S23" s="1">
        <v>9</v>
      </c>
    </row>
    <row r="24" spans="2:19" x14ac:dyDescent="0.3">
      <c r="B24" s="4">
        <v>46231</v>
      </c>
      <c r="C24" s="1">
        <f>WEEKNUM(Tabla158[[#This Row],[Fecha]])</f>
        <v>31</v>
      </c>
      <c r="D24" s="1" t="s">
        <v>30</v>
      </c>
      <c r="E24" s="1">
        <v>500</v>
      </c>
      <c r="F24" s="9">
        <v>12289497</v>
      </c>
      <c r="G24" s="1">
        <v>16</v>
      </c>
      <c r="H24" s="1">
        <v>0</v>
      </c>
      <c r="I24" s="3">
        <f>Tabla158[[#This Row],[Piezas NOK]]/Tabla158[[#This Row],[Piezas OK]]</f>
        <v>0</v>
      </c>
      <c r="J24" s="1">
        <f t="shared" si="2"/>
        <v>1</v>
      </c>
      <c r="K24" s="5">
        <f>Tabla158[[#This Row],[FTQ]]</f>
        <v>1</v>
      </c>
      <c r="M24" s="4">
        <v>46231</v>
      </c>
      <c r="N24" s="1">
        <f>WEEKNUM(Tabla2610[[#This Row],[07/09/2026]])</f>
        <v>31</v>
      </c>
      <c r="O24" s="1" t="s">
        <v>30</v>
      </c>
      <c r="P24" s="1">
        <v>400</v>
      </c>
      <c r="Q24" s="9">
        <v>12289497</v>
      </c>
      <c r="R24" s="1" t="s">
        <v>33</v>
      </c>
      <c r="S24" s="1">
        <v>6</v>
      </c>
    </row>
    <row r="25" spans="2:19" x14ac:dyDescent="0.3">
      <c r="B25" s="4">
        <v>46231</v>
      </c>
      <c r="C25" s="1">
        <f>WEEKNUM(Tabla158[[#This Row],[Fecha]])</f>
        <v>31</v>
      </c>
      <c r="D25" s="1" t="s">
        <v>30</v>
      </c>
      <c r="E25" s="1">
        <v>600</v>
      </c>
      <c r="F25" s="9">
        <v>12289497</v>
      </c>
      <c r="G25" s="1">
        <v>39</v>
      </c>
      <c r="H25" s="1">
        <v>0</v>
      </c>
      <c r="I25" s="3">
        <f>Tabla158[[#This Row],[Piezas NOK]]/Tabla158[[#This Row],[Piezas OK]]</f>
        <v>0</v>
      </c>
      <c r="J25" s="1">
        <f t="shared" ref="J25:J32" si="3">ABS(G$3-I25)</f>
        <v>1</v>
      </c>
      <c r="K25" s="5">
        <f>Tabla158[[#This Row],[FTQ]]</f>
        <v>1</v>
      </c>
      <c r="M25" s="4">
        <v>46231</v>
      </c>
      <c r="N25" s="1">
        <f>WEEKNUM(Tabla2610[[#This Row],[07/09/2026]])</f>
        <v>31</v>
      </c>
      <c r="O25" s="1" t="s">
        <v>30</v>
      </c>
      <c r="P25" s="1">
        <v>700</v>
      </c>
      <c r="Q25" s="9">
        <v>12289497</v>
      </c>
      <c r="R25" s="1" t="s">
        <v>34</v>
      </c>
      <c r="S25" s="1">
        <v>45</v>
      </c>
    </row>
    <row r="26" spans="2:19" x14ac:dyDescent="0.3">
      <c r="B26" s="4">
        <v>46231</v>
      </c>
      <c r="C26" s="1">
        <f>WEEKNUM(Tabla158[[#This Row],[Fecha]])</f>
        <v>31</v>
      </c>
      <c r="D26" s="1" t="s">
        <v>30</v>
      </c>
      <c r="E26" s="1">
        <v>700</v>
      </c>
      <c r="F26" s="9">
        <v>12289497</v>
      </c>
      <c r="G26" s="1">
        <v>45</v>
      </c>
      <c r="H26" s="1">
        <v>35</v>
      </c>
      <c r="I26" s="3">
        <f>Tabla158[[#This Row],[Piezas NOK]]/Tabla158[[#This Row],[Piezas OK]]</f>
        <v>0.77777777777777779</v>
      </c>
      <c r="J26" s="1">
        <f t="shared" si="3"/>
        <v>0.22222222222222221</v>
      </c>
      <c r="K26" s="5">
        <f>Tabla158[[#This Row],[FTQ]]</f>
        <v>0.22222222222222221</v>
      </c>
      <c r="M26" s="4">
        <v>46231</v>
      </c>
      <c r="N26" s="1">
        <f>WEEKNUM(Tabla2610[[#This Row],[07/09/2026]])</f>
        <v>31</v>
      </c>
      <c r="O26" s="1" t="s">
        <v>30</v>
      </c>
      <c r="P26" s="1">
        <v>800</v>
      </c>
      <c r="Q26" s="9">
        <v>12289497</v>
      </c>
      <c r="R26" s="1" t="s">
        <v>35</v>
      </c>
      <c r="S26" s="1">
        <v>3</v>
      </c>
    </row>
    <row r="27" spans="2:19" x14ac:dyDescent="0.3">
      <c r="B27" s="4">
        <v>46231</v>
      </c>
      <c r="C27" s="1">
        <f>WEEKNUM(Tabla158[[#This Row],[Fecha]])</f>
        <v>31</v>
      </c>
      <c r="D27" s="1" t="s">
        <v>30</v>
      </c>
      <c r="E27" s="1">
        <v>800</v>
      </c>
      <c r="F27" s="9">
        <v>12289497</v>
      </c>
      <c r="G27" s="1">
        <v>45</v>
      </c>
      <c r="H27" s="1">
        <v>3</v>
      </c>
      <c r="I27" s="3">
        <f>Tabla158[[#This Row],[Piezas NOK]]/Tabla158[[#This Row],[Piezas OK]]</f>
        <v>6.6666666666666666E-2</v>
      </c>
      <c r="J27" s="1">
        <f t="shared" si="3"/>
        <v>0.93333333333333335</v>
      </c>
      <c r="K27" s="5">
        <f>Tabla158[[#This Row],[FTQ]]</f>
        <v>0.93333333333333335</v>
      </c>
      <c r="M27" s="4">
        <v>46234</v>
      </c>
      <c r="N27" s="1">
        <f>WEEKNUM(Tabla2610[[#This Row],[07/09/2026]])</f>
        <v>31</v>
      </c>
      <c r="O27" s="1" t="s">
        <v>30</v>
      </c>
      <c r="P27" s="1">
        <v>100</v>
      </c>
      <c r="Q27" s="9">
        <v>12289475</v>
      </c>
      <c r="R27" s="1" t="s">
        <v>31</v>
      </c>
      <c r="S27" s="1">
        <v>3</v>
      </c>
    </row>
    <row r="28" spans="2:19" x14ac:dyDescent="0.3">
      <c r="B28" s="4">
        <v>46234</v>
      </c>
      <c r="C28" s="1">
        <f>WEEKNUM(Tabla158[[#This Row],[Fecha]])</f>
        <v>31</v>
      </c>
      <c r="D28" s="1" t="s">
        <v>30</v>
      </c>
      <c r="E28" s="1">
        <v>100</v>
      </c>
      <c r="F28" s="9">
        <v>12289475</v>
      </c>
      <c r="G28" s="1">
        <v>101</v>
      </c>
      <c r="H28" s="1">
        <v>8</v>
      </c>
      <c r="I28" s="3">
        <f>Tabla158[[#This Row],[Piezas NOK]]/Tabla158[[#This Row],[Piezas OK]]</f>
        <v>7.9207920792079209E-2</v>
      </c>
      <c r="J28" s="1">
        <f t="shared" si="3"/>
        <v>0.92079207920792083</v>
      </c>
      <c r="K28" s="5">
        <f>Tabla158[[#This Row],[FTQ]]</f>
        <v>0.92079207920792083</v>
      </c>
      <c r="M28" s="4">
        <v>46234</v>
      </c>
      <c r="N28" s="1">
        <f>WEEKNUM(Tabla2610[[#This Row],[07/09/2026]])</f>
        <v>31</v>
      </c>
      <c r="O28" s="1" t="s">
        <v>30</v>
      </c>
      <c r="P28" s="1">
        <v>100</v>
      </c>
      <c r="Q28" s="9">
        <v>12289475</v>
      </c>
      <c r="R28" s="1" t="s">
        <v>36</v>
      </c>
      <c r="S28" s="1">
        <v>5</v>
      </c>
    </row>
    <row r="29" spans="2:19" x14ac:dyDescent="0.3">
      <c r="B29" s="4">
        <v>46234</v>
      </c>
      <c r="C29" s="1">
        <f>WEEKNUM(Tabla158[[#This Row],[Fecha]])</f>
        <v>31</v>
      </c>
      <c r="D29" s="1" t="s">
        <v>30</v>
      </c>
      <c r="E29" s="1">
        <v>200</v>
      </c>
      <c r="F29" s="9">
        <v>12289475</v>
      </c>
      <c r="G29" s="1">
        <v>100</v>
      </c>
      <c r="H29" s="1">
        <v>0</v>
      </c>
      <c r="I29" s="3">
        <f>Tabla158[[#This Row],[Piezas NOK]]/Tabla158[[#This Row],[Piezas OK]]</f>
        <v>0</v>
      </c>
      <c r="J29" s="1">
        <f t="shared" si="3"/>
        <v>1</v>
      </c>
      <c r="K29" s="5">
        <f>Tabla158[[#This Row],[FTQ]]</f>
        <v>1</v>
      </c>
      <c r="M29" s="4">
        <v>46234</v>
      </c>
      <c r="N29" s="1">
        <f>WEEKNUM(Tabla2610[[#This Row],[07/09/2026]])</f>
        <v>31</v>
      </c>
      <c r="O29" s="1" t="s">
        <v>30</v>
      </c>
      <c r="P29" s="1">
        <v>300</v>
      </c>
      <c r="Q29" s="9">
        <v>12289475</v>
      </c>
      <c r="R29" s="1" t="s">
        <v>37</v>
      </c>
      <c r="S29" s="1">
        <v>3</v>
      </c>
    </row>
    <row r="30" spans="2:19" x14ac:dyDescent="0.3">
      <c r="B30" s="4">
        <v>46234</v>
      </c>
      <c r="C30" s="1">
        <f>WEEKNUM(Tabla158[[#This Row],[Fecha]])</f>
        <v>31</v>
      </c>
      <c r="D30" s="1" t="s">
        <v>30</v>
      </c>
      <c r="E30" s="1">
        <v>300</v>
      </c>
      <c r="F30" s="9">
        <v>12289475</v>
      </c>
      <c r="G30" s="1">
        <v>100</v>
      </c>
      <c r="H30" s="1">
        <v>3</v>
      </c>
      <c r="I30" s="3">
        <f>Tabla158[[#This Row],[Piezas NOK]]/Tabla158[[#This Row],[Piezas OK]]</f>
        <v>0.03</v>
      </c>
      <c r="J30" s="1">
        <f t="shared" si="3"/>
        <v>0.97</v>
      </c>
      <c r="K30" s="5">
        <f>Tabla158[[#This Row],[FTQ]]</f>
        <v>0.97</v>
      </c>
      <c r="M30" s="4">
        <v>46234</v>
      </c>
      <c r="N30" s="1">
        <f>WEEKNUM(Tabla2610[[#This Row],[07/09/2026]])</f>
        <v>31</v>
      </c>
      <c r="O30" s="1" t="s">
        <v>30</v>
      </c>
      <c r="P30" s="1">
        <v>400</v>
      </c>
      <c r="Q30" s="9">
        <v>12289475</v>
      </c>
      <c r="R30" s="1" t="s">
        <v>33</v>
      </c>
      <c r="S30" s="1">
        <v>22</v>
      </c>
    </row>
    <row r="31" spans="2:19" x14ac:dyDescent="0.3">
      <c r="B31" s="4">
        <v>46234</v>
      </c>
      <c r="C31" s="1">
        <f>WEEKNUM(Tabla158[[#This Row],[Fecha]])</f>
        <v>31</v>
      </c>
      <c r="D31" s="1" t="s">
        <v>30</v>
      </c>
      <c r="E31" s="1">
        <v>400</v>
      </c>
      <c r="F31" s="9">
        <v>12289475</v>
      </c>
      <c r="G31" s="1">
        <v>116</v>
      </c>
      <c r="H31" s="1">
        <v>22</v>
      </c>
      <c r="I31" s="3">
        <f>Tabla158[[#This Row],[Piezas NOK]]/Tabla158[[#This Row],[Piezas OK]]</f>
        <v>0.18965517241379309</v>
      </c>
      <c r="J31" s="1">
        <f t="shared" si="3"/>
        <v>0.81034482758620685</v>
      </c>
      <c r="K31" s="5">
        <f>Tabla158[[#This Row],[FTQ]]</f>
        <v>0.81034482758620685</v>
      </c>
      <c r="M31" s="4">
        <v>46234</v>
      </c>
      <c r="N31" s="1">
        <f>WEEKNUM(Tabla2610[[#This Row],[07/09/2026]])</f>
        <v>31</v>
      </c>
      <c r="O31" s="1" t="s">
        <v>30</v>
      </c>
      <c r="P31" s="1">
        <v>600</v>
      </c>
      <c r="Q31" s="9">
        <v>12289475</v>
      </c>
      <c r="R31" s="1" t="s">
        <v>59</v>
      </c>
      <c r="S31" s="1">
        <v>3</v>
      </c>
    </row>
    <row r="32" spans="2:19" x14ac:dyDescent="0.3">
      <c r="B32" s="4">
        <v>46234</v>
      </c>
      <c r="C32" s="1">
        <f>WEEKNUM(Tabla158[[#This Row],[Fecha]])</f>
        <v>31</v>
      </c>
      <c r="D32" s="1" t="s">
        <v>30</v>
      </c>
      <c r="E32" s="1">
        <v>500</v>
      </c>
      <c r="F32" s="9">
        <v>12289475</v>
      </c>
      <c r="G32" s="1">
        <v>94</v>
      </c>
      <c r="H32" s="1">
        <v>0</v>
      </c>
      <c r="I32" s="3">
        <f>Tabla158[[#This Row],[Piezas NOK]]/Tabla158[[#This Row],[Piezas OK]]</f>
        <v>0</v>
      </c>
      <c r="J32" s="1">
        <f t="shared" si="3"/>
        <v>1</v>
      </c>
      <c r="K32" s="5">
        <f>Tabla158[[#This Row],[FTQ]]</f>
        <v>1</v>
      </c>
      <c r="M32" s="4">
        <v>46234</v>
      </c>
      <c r="N32" s="1">
        <f>WEEKNUM(Tabla2610[[#This Row],[07/09/2026]])</f>
        <v>31</v>
      </c>
      <c r="O32" s="1" t="s">
        <v>30</v>
      </c>
      <c r="P32" s="1">
        <v>600</v>
      </c>
      <c r="Q32" s="9">
        <v>12289475</v>
      </c>
      <c r="R32" s="1" t="s">
        <v>38</v>
      </c>
      <c r="S32" s="1">
        <v>2</v>
      </c>
    </row>
    <row r="33" spans="2:19" x14ac:dyDescent="0.3">
      <c r="B33" s="4">
        <v>46234</v>
      </c>
      <c r="C33" s="1">
        <f>WEEKNUM(Tabla158[[#This Row],[Fecha]])</f>
        <v>31</v>
      </c>
      <c r="D33" s="1" t="s">
        <v>30</v>
      </c>
      <c r="E33" s="1">
        <v>600</v>
      </c>
      <c r="F33" s="9">
        <v>12289475</v>
      </c>
      <c r="G33" s="1">
        <v>94</v>
      </c>
      <c r="H33" s="1">
        <v>5</v>
      </c>
      <c r="I33" s="3">
        <f>Tabla158[[#This Row],[Piezas NOK]]/Tabla158[[#This Row],[Piezas OK]]</f>
        <v>5.3191489361702128E-2</v>
      </c>
      <c r="J33" s="1">
        <f t="shared" ref="J33:J37" si="4">ABS(G$3-I33)</f>
        <v>0.94680851063829785</v>
      </c>
      <c r="K33" s="5">
        <f>Tabla158[[#This Row],[FTQ]]</f>
        <v>0.94680851063829785</v>
      </c>
      <c r="M33" s="4">
        <v>46234</v>
      </c>
      <c r="N33" s="1">
        <f>WEEKNUM(Tabla2610[[#This Row],[07/09/2026]])</f>
        <v>31</v>
      </c>
      <c r="O33" s="1" t="s">
        <v>30</v>
      </c>
      <c r="P33" s="1">
        <v>700</v>
      </c>
      <c r="Q33" s="9">
        <v>12289475</v>
      </c>
      <c r="R33" s="1" t="s">
        <v>40</v>
      </c>
      <c r="S33" s="1">
        <v>2</v>
      </c>
    </row>
    <row r="34" spans="2:19" x14ac:dyDescent="0.3">
      <c r="B34" s="4">
        <v>46234</v>
      </c>
      <c r="C34" s="1">
        <f>WEEKNUM(Tabla158[[#This Row],[Fecha]])</f>
        <v>31</v>
      </c>
      <c r="D34" s="1" t="s">
        <v>30</v>
      </c>
      <c r="E34" s="1">
        <v>700</v>
      </c>
      <c r="F34" s="9">
        <v>12289475</v>
      </c>
      <c r="G34" s="1">
        <v>94</v>
      </c>
      <c r="H34" s="1">
        <v>4</v>
      </c>
      <c r="I34" s="3">
        <f>Tabla158[[#This Row],[Piezas NOK]]/Tabla158[[#This Row],[Piezas OK]]</f>
        <v>4.2553191489361701E-2</v>
      </c>
      <c r="J34" s="1">
        <f t="shared" si="4"/>
        <v>0.95744680851063835</v>
      </c>
      <c r="K34" s="5">
        <f>Tabla158[[#This Row],[FTQ]]</f>
        <v>0.95744680851063835</v>
      </c>
      <c r="M34" s="4">
        <v>46234</v>
      </c>
      <c r="N34" s="1">
        <f>WEEKNUM(Tabla2610[[#This Row],[07/09/2026]])</f>
        <v>31</v>
      </c>
      <c r="O34" s="1" t="s">
        <v>30</v>
      </c>
      <c r="P34" s="1">
        <v>700</v>
      </c>
      <c r="Q34" s="9">
        <v>12289475</v>
      </c>
      <c r="R34" s="1" t="s">
        <v>39</v>
      </c>
      <c r="S34" s="1">
        <v>2</v>
      </c>
    </row>
    <row r="35" spans="2:19" x14ac:dyDescent="0.3">
      <c r="B35" s="4">
        <v>46234</v>
      </c>
      <c r="C35" s="1">
        <f>WEEKNUM(Tabla158[[#This Row],[Fecha]])</f>
        <v>31</v>
      </c>
      <c r="D35" s="1" t="s">
        <v>30</v>
      </c>
      <c r="E35" s="1">
        <v>800</v>
      </c>
      <c r="F35" s="9">
        <v>12289475</v>
      </c>
      <c r="G35" s="1">
        <v>94</v>
      </c>
      <c r="H35" s="10">
        <v>0</v>
      </c>
      <c r="I35" s="3">
        <f>Tabla158[[#This Row],[Piezas NOK]]/Tabla158[[#This Row],[Piezas OK]]</f>
        <v>0</v>
      </c>
      <c r="J35" s="1">
        <f t="shared" si="4"/>
        <v>1</v>
      </c>
      <c r="K35" s="5">
        <f>Tabla158[[#This Row],[FTQ]]</f>
        <v>1</v>
      </c>
      <c r="M35" s="4">
        <v>46238</v>
      </c>
      <c r="N35" s="1">
        <f>WEEKNUM(Tabla2610[[#This Row],[07/09/2026]])</f>
        <v>32</v>
      </c>
      <c r="O35" s="1" t="s">
        <v>30</v>
      </c>
      <c r="P35" s="1">
        <v>200</v>
      </c>
      <c r="Q35" s="9">
        <v>12289497</v>
      </c>
      <c r="R35" s="1" t="s">
        <v>41</v>
      </c>
      <c r="S35" s="1">
        <v>6</v>
      </c>
    </row>
    <row r="36" spans="2:19" x14ac:dyDescent="0.3">
      <c r="B36" s="4">
        <v>46238</v>
      </c>
      <c r="C36" s="1">
        <f>WEEKNUM(Tabla158[[#This Row],[Fecha]])</f>
        <v>32</v>
      </c>
      <c r="D36" s="1" t="s">
        <v>30</v>
      </c>
      <c r="E36" s="1">
        <v>100</v>
      </c>
      <c r="F36" s="9">
        <v>12289475</v>
      </c>
      <c r="G36" s="1">
        <v>13</v>
      </c>
      <c r="H36" s="1">
        <v>11</v>
      </c>
      <c r="I36" s="3">
        <f>Tabla158[[#This Row],[Piezas NOK]]/Tabla158[[#This Row],[Piezas OK]]</f>
        <v>0.84615384615384615</v>
      </c>
      <c r="J36" s="1">
        <f t="shared" si="4"/>
        <v>0.15384615384615385</v>
      </c>
      <c r="K36" s="5">
        <f>Tabla158[[#This Row],[FTQ]]</f>
        <v>0.15384615384615385</v>
      </c>
      <c r="M36" s="4">
        <v>46238</v>
      </c>
      <c r="N36" s="1">
        <f>WEEKNUM(Tabla2610[[#This Row],[07/09/2026]])</f>
        <v>32</v>
      </c>
      <c r="O36" s="1" t="s">
        <v>30</v>
      </c>
      <c r="P36" s="1">
        <v>200</v>
      </c>
      <c r="Q36" s="9">
        <v>12289497</v>
      </c>
      <c r="R36" s="1" t="s">
        <v>42</v>
      </c>
      <c r="S36" s="1">
        <v>3</v>
      </c>
    </row>
    <row r="37" spans="2:19" x14ac:dyDescent="0.3">
      <c r="B37" s="4">
        <v>46238</v>
      </c>
      <c r="C37" s="1">
        <f>WEEKNUM(Tabla158[[#This Row],[Fecha]])</f>
        <v>32</v>
      </c>
      <c r="D37" s="1" t="s">
        <v>30</v>
      </c>
      <c r="E37" s="1">
        <v>200</v>
      </c>
      <c r="F37" s="9">
        <v>12289475</v>
      </c>
      <c r="G37" s="1">
        <v>13</v>
      </c>
      <c r="H37" s="1">
        <v>0</v>
      </c>
      <c r="I37" s="3">
        <f>Tabla158[[#This Row],[Piezas NOK]]/Tabla158[[#This Row],[Piezas OK]]</f>
        <v>0</v>
      </c>
      <c r="J37" s="1">
        <f t="shared" si="4"/>
        <v>1</v>
      </c>
      <c r="K37" s="5">
        <f>Tabla158[[#This Row],[FTQ]]</f>
        <v>1</v>
      </c>
      <c r="M37" s="4">
        <v>46238</v>
      </c>
      <c r="N37" s="1">
        <f>WEEKNUM(Tabla2610[[#This Row],[07/09/2026]])</f>
        <v>32</v>
      </c>
      <c r="O37" s="1" t="s">
        <v>30</v>
      </c>
      <c r="P37" s="1">
        <v>100</v>
      </c>
      <c r="Q37" s="9">
        <v>12289475</v>
      </c>
      <c r="R37" s="1" t="s">
        <v>31</v>
      </c>
      <c r="S37" s="1">
        <v>6</v>
      </c>
    </row>
    <row r="38" spans="2:19" x14ac:dyDescent="0.3">
      <c r="B38" s="4">
        <v>46238</v>
      </c>
      <c r="C38" s="1">
        <f>WEEKNUM(Tabla158[[#This Row],[Fecha]])</f>
        <v>32</v>
      </c>
      <c r="D38" s="1" t="s">
        <v>30</v>
      </c>
      <c r="E38" s="1">
        <v>300</v>
      </c>
      <c r="F38" s="9">
        <v>12289475</v>
      </c>
      <c r="G38" s="1">
        <v>13</v>
      </c>
      <c r="H38" s="1">
        <v>0</v>
      </c>
      <c r="I38" s="3">
        <f>Tabla158[[#This Row],[Piezas NOK]]/Tabla158[[#This Row],[Piezas OK]]</f>
        <v>0</v>
      </c>
      <c r="J38" s="1">
        <f t="shared" ref="J38:J45" si="5">ABS(G$3-I38)</f>
        <v>1</v>
      </c>
      <c r="K38" s="5">
        <f>Tabla158[[#This Row],[FTQ]]</f>
        <v>1</v>
      </c>
      <c r="M38" s="4">
        <v>46238</v>
      </c>
      <c r="N38" s="1">
        <f>WEEKNUM(Tabla2610[[#This Row],[07/09/2026]])</f>
        <v>32</v>
      </c>
      <c r="O38" s="1" t="s">
        <v>30</v>
      </c>
      <c r="P38" s="1">
        <v>100</v>
      </c>
      <c r="Q38" s="9">
        <v>12289497</v>
      </c>
      <c r="R38" s="1" t="s">
        <v>36</v>
      </c>
      <c r="S38" s="1">
        <v>5</v>
      </c>
    </row>
    <row r="39" spans="2:19" x14ac:dyDescent="0.3">
      <c r="B39" s="4">
        <v>46238</v>
      </c>
      <c r="C39" s="1">
        <f>WEEKNUM(Tabla158[[#This Row],[Fecha]])</f>
        <v>32</v>
      </c>
      <c r="D39" s="1" t="s">
        <v>30</v>
      </c>
      <c r="E39" s="1">
        <v>400</v>
      </c>
      <c r="F39" s="9">
        <v>12289475</v>
      </c>
      <c r="G39" s="1">
        <v>13</v>
      </c>
      <c r="H39" s="1">
        <v>0</v>
      </c>
      <c r="I39" s="3">
        <f>Tabla158[[#This Row],[Piezas NOK]]/Tabla158[[#This Row],[Piezas OK]]</f>
        <v>0</v>
      </c>
      <c r="J39" s="1">
        <f t="shared" si="5"/>
        <v>1</v>
      </c>
      <c r="K39" s="5">
        <f>Tabla158[[#This Row],[FTQ]]</f>
        <v>1</v>
      </c>
      <c r="M39" s="4">
        <v>46238</v>
      </c>
      <c r="N39" s="1">
        <f>WEEKNUM(Tabla2610[[#This Row],[07/09/2026]])</f>
        <v>32</v>
      </c>
      <c r="O39" s="1" t="s">
        <v>30</v>
      </c>
      <c r="P39" s="1">
        <v>100</v>
      </c>
      <c r="Q39" s="9">
        <v>12289475</v>
      </c>
      <c r="R39" s="1" t="s">
        <v>31</v>
      </c>
      <c r="S39" s="1">
        <v>6</v>
      </c>
    </row>
    <row r="40" spans="2:19" x14ac:dyDescent="0.3">
      <c r="B40" s="4">
        <v>46238</v>
      </c>
      <c r="C40" s="1">
        <f>WEEKNUM(Tabla158[[#This Row],[Fecha]])</f>
        <v>32</v>
      </c>
      <c r="D40" s="1" t="s">
        <v>30</v>
      </c>
      <c r="E40" s="1">
        <v>500</v>
      </c>
      <c r="F40" s="9">
        <v>12289475</v>
      </c>
      <c r="G40" s="1">
        <v>13</v>
      </c>
      <c r="H40" s="1">
        <v>0</v>
      </c>
      <c r="I40" s="3">
        <f>Tabla158[[#This Row],[Piezas NOK]]/Tabla158[[#This Row],[Piezas OK]]</f>
        <v>0</v>
      </c>
      <c r="J40" s="1">
        <f t="shared" si="5"/>
        <v>1</v>
      </c>
      <c r="K40" s="5">
        <f>Tabla158[[#This Row],[FTQ]]</f>
        <v>1</v>
      </c>
      <c r="M40" s="4">
        <v>46238</v>
      </c>
      <c r="N40" s="1">
        <f>WEEKNUM(Tabla2610[[#This Row],[07/09/2026]])</f>
        <v>32</v>
      </c>
      <c r="O40" s="1" t="s">
        <v>30</v>
      </c>
      <c r="P40" s="1">
        <v>100</v>
      </c>
      <c r="Q40" s="9">
        <v>12289497</v>
      </c>
      <c r="R40" s="1" t="s">
        <v>36</v>
      </c>
      <c r="S40" s="1">
        <v>15</v>
      </c>
    </row>
    <row r="41" spans="2:19" x14ac:dyDescent="0.3">
      <c r="B41" s="4">
        <v>46238</v>
      </c>
      <c r="C41" s="1">
        <f>WEEKNUM(Tabla158[[#This Row],[Fecha]])</f>
        <v>32</v>
      </c>
      <c r="D41" s="1" t="s">
        <v>30</v>
      </c>
      <c r="E41" s="1">
        <v>600</v>
      </c>
      <c r="F41" s="9">
        <v>12289475</v>
      </c>
      <c r="G41" s="1">
        <v>13</v>
      </c>
      <c r="H41" s="1">
        <v>0</v>
      </c>
      <c r="I41" s="3">
        <f>Tabla158[[#This Row],[Piezas NOK]]/Tabla158[[#This Row],[Piezas OK]]</f>
        <v>0</v>
      </c>
      <c r="J41" s="1">
        <f t="shared" si="5"/>
        <v>1</v>
      </c>
      <c r="K41" s="5">
        <f>Tabla158[[#This Row],[FTQ]]</f>
        <v>1</v>
      </c>
      <c r="M41" s="4">
        <v>46238</v>
      </c>
      <c r="N41" s="1">
        <f>WEEKNUM(Tabla2610[[#This Row],[07/09/2026]])</f>
        <v>32</v>
      </c>
      <c r="O41" s="1" t="s">
        <v>30</v>
      </c>
      <c r="P41" s="1">
        <v>500</v>
      </c>
      <c r="Q41" s="9">
        <v>12289497</v>
      </c>
      <c r="R41" s="1" t="s">
        <v>43</v>
      </c>
      <c r="S41" s="1">
        <v>5</v>
      </c>
    </row>
    <row r="42" spans="2:19" x14ac:dyDescent="0.3">
      <c r="B42" s="4">
        <v>46238</v>
      </c>
      <c r="C42" s="1">
        <f>WEEKNUM(Tabla158[[#This Row],[Fecha]])</f>
        <v>32</v>
      </c>
      <c r="D42" s="1" t="s">
        <v>30</v>
      </c>
      <c r="E42" s="1">
        <v>700</v>
      </c>
      <c r="F42" s="9">
        <v>12289475</v>
      </c>
      <c r="G42" s="1">
        <v>13</v>
      </c>
      <c r="H42" s="1">
        <v>0</v>
      </c>
      <c r="I42" s="3">
        <f>Tabla158[[#This Row],[Piezas NOK]]/Tabla158[[#This Row],[Piezas OK]]</f>
        <v>0</v>
      </c>
      <c r="J42" s="1">
        <f t="shared" si="5"/>
        <v>1</v>
      </c>
      <c r="K42" s="5">
        <f>Tabla158[[#This Row],[FTQ]]</f>
        <v>1</v>
      </c>
      <c r="M42" s="4">
        <v>46232</v>
      </c>
      <c r="N42" s="1">
        <f>WEEKNUM(Tabla2610[[#This Row],[07/09/2026]])</f>
        <v>31</v>
      </c>
      <c r="O42" s="1" t="s">
        <v>15</v>
      </c>
      <c r="P42" s="1">
        <v>100</v>
      </c>
      <c r="Q42" s="9">
        <v>10532587</v>
      </c>
      <c r="R42" s="1" t="s">
        <v>44</v>
      </c>
      <c r="S42" s="1">
        <v>13</v>
      </c>
    </row>
    <row r="43" spans="2:19" x14ac:dyDescent="0.3">
      <c r="B43" s="4">
        <v>46238</v>
      </c>
      <c r="C43" s="1">
        <f>WEEKNUM(Tabla158[[#This Row],[Fecha]])</f>
        <v>32</v>
      </c>
      <c r="D43" s="1" t="s">
        <v>30</v>
      </c>
      <c r="E43" s="1">
        <v>800</v>
      </c>
      <c r="F43" s="9">
        <v>12289475</v>
      </c>
      <c r="G43" s="1">
        <v>13</v>
      </c>
      <c r="H43" s="1">
        <v>0</v>
      </c>
      <c r="I43" s="3">
        <f>Tabla158[[#This Row],[Piezas NOK]]/Tabla158[[#This Row],[Piezas OK]]</f>
        <v>0</v>
      </c>
      <c r="J43" s="1">
        <f t="shared" si="5"/>
        <v>1</v>
      </c>
      <c r="K43" s="5">
        <f>Tabla158[[#This Row],[FTQ]]</f>
        <v>1</v>
      </c>
      <c r="M43" s="4">
        <v>46232</v>
      </c>
      <c r="N43" s="1">
        <f>WEEKNUM(Tabla2610[[#This Row],[07/09/2026]])</f>
        <v>31</v>
      </c>
      <c r="O43" s="1" t="s">
        <v>15</v>
      </c>
      <c r="P43" s="1">
        <v>100</v>
      </c>
      <c r="Q43" s="9">
        <v>10532587</v>
      </c>
      <c r="R43" s="1" t="s">
        <v>45</v>
      </c>
      <c r="S43" s="1">
        <v>18</v>
      </c>
    </row>
    <row r="44" spans="2:19" x14ac:dyDescent="0.3">
      <c r="B44" s="4">
        <v>46238</v>
      </c>
      <c r="C44" s="1">
        <f>WEEKNUM(Tabla158[[#This Row],[Fecha]])</f>
        <v>32</v>
      </c>
      <c r="D44" s="1" t="s">
        <v>30</v>
      </c>
      <c r="E44" s="1">
        <v>100</v>
      </c>
      <c r="F44" s="9">
        <v>12289497</v>
      </c>
      <c r="G44" s="1">
        <v>42</v>
      </c>
      <c r="H44" s="1">
        <v>21</v>
      </c>
      <c r="I44" s="3">
        <f>Tabla158[[#This Row],[Piezas NOK]]/Tabla158[[#This Row],[Piezas OK]]</f>
        <v>0.5</v>
      </c>
      <c r="J44" s="1">
        <f t="shared" si="5"/>
        <v>0.5</v>
      </c>
      <c r="K44" s="5">
        <f>Tabla158[[#This Row],[FTQ]]</f>
        <v>0.5</v>
      </c>
      <c r="M44" s="4">
        <v>46232</v>
      </c>
      <c r="N44" s="1">
        <f>WEEKNUM(Tabla2610[[#This Row],[07/09/2026]])</f>
        <v>31</v>
      </c>
      <c r="O44" s="1" t="s">
        <v>15</v>
      </c>
      <c r="P44" s="1">
        <v>100</v>
      </c>
      <c r="Q44" s="9">
        <v>10532587</v>
      </c>
      <c r="R44" s="1" t="s">
        <v>20</v>
      </c>
      <c r="S44" s="1">
        <v>9</v>
      </c>
    </row>
    <row r="45" spans="2:19" x14ac:dyDescent="0.3">
      <c r="B45" s="4">
        <v>46238</v>
      </c>
      <c r="C45" s="1">
        <f>WEEKNUM(Tabla158[[#This Row],[Fecha]])</f>
        <v>32</v>
      </c>
      <c r="D45" s="1" t="s">
        <v>30</v>
      </c>
      <c r="E45" s="1">
        <v>200</v>
      </c>
      <c r="F45" s="9">
        <v>12289497</v>
      </c>
      <c r="G45" s="1">
        <v>42</v>
      </c>
      <c r="H45" s="1">
        <v>9</v>
      </c>
      <c r="I45" s="3">
        <f>Tabla158[[#This Row],[Piezas NOK]]/Tabla158[[#This Row],[Piezas OK]]</f>
        <v>0.21428571428571427</v>
      </c>
      <c r="J45" s="1">
        <f t="shared" si="5"/>
        <v>0.7857142857142857</v>
      </c>
      <c r="K45" s="5">
        <f>Tabla158[[#This Row],[FTQ]]</f>
        <v>0.7857142857142857</v>
      </c>
      <c r="M45" s="4">
        <v>46232</v>
      </c>
      <c r="N45" s="1">
        <f>WEEKNUM(Tabla2610[[#This Row],[07/09/2026]])</f>
        <v>31</v>
      </c>
      <c r="O45" s="1" t="s">
        <v>15</v>
      </c>
      <c r="P45" s="1">
        <v>200</v>
      </c>
      <c r="Q45" s="9">
        <v>10532587</v>
      </c>
      <c r="R45" s="1" t="s">
        <v>46</v>
      </c>
      <c r="S45" s="1">
        <v>15</v>
      </c>
    </row>
    <row r="46" spans="2:19" x14ac:dyDescent="0.3">
      <c r="B46" s="4">
        <v>46238</v>
      </c>
      <c r="C46" s="1">
        <f>WEEKNUM(Tabla158[[#This Row],[Fecha]])</f>
        <v>32</v>
      </c>
      <c r="D46" s="1" t="s">
        <v>30</v>
      </c>
      <c r="E46" s="1">
        <v>300</v>
      </c>
      <c r="F46" s="9">
        <v>12289497</v>
      </c>
      <c r="G46" s="1">
        <v>42</v>
      </c>
      <c r="H46" s="1">
        <v>0</v>
      </c>
      <c r="I46" s="3">
        <f>Tabla158[[#This Row],[Piezas NOK]]/Tabla158[[#This Row],[Piezas OK]]</f>
        <v>0</v>
      </c>
      <c r="J46" s="1">
        <f t="shared" ref="J46:J51" si="6">ABS(G$3-I46)</f>
        <v>1</v>
      </c>
      <c r="K46" s="5">
        <f>Tabla158[[#This Row],[FTQ]]</f>
        <v>1</v>
      </c>
      <c r="M46" s="4">
        <v>46232</v>
      </c>
      <c r="N46" s="1">
        <f>WEEKNUM(Tabla2610[[#This Row],[07/09/2026]])</f>
        <v>31</v>
      </c>
      <c r="O46" s="1" t="s">
        <v>15</v>
      </c>
      <c r="P46" s="1">
        <v>200</v>
      </c>
      <c r="Q46" s="9">
        <v>10532587</v>
      </c>
      <c r="R46" s="1" t="s">
        <v>47</v>
      </c>
      <c r="S46" s="1">
        <v>1</v>
      </c>
    </row>
    <row r="47" spans="2:19" x14ac:dyDescent="0.3">
      <c r="B47" s="4">
        <v>46238</v>
      </c>
      <c r="C47" s="1">
        <f>WEEKNUM(Tabla158[[#This Row],[Fecha]])</f>
        <v>32</v>
      </c>
      <c r="D47" s="1" t="s">
        <v>30</v>
      </c>
      <c r="E47" s="1">
        <v>400</v>
      </c>
      <c r="F47" s="9">
        <v>12289497</v>
      </c>
      <c r="G47" s="1">
        <v>42</v>
      </c>
      <c r="H47" s="1">
        <v>0</v>
      </c>
      <c r="I47" s="3">
        <f>Tabla158[[#This Row],[Piezas NOK]]/Tabla158[[#This Row],[Piezas OK]]</f>
        <v>0</v>
      </c>
      <c r="J47" s="1">
        <f t="shared" si="6"/>
        <v>1</v>
      </c>
      <c r="K47" s="5">
        <f>Tabla158[[#This Row],[FTQ]]</f>
        <v>1</v>
      </c>
      <c r="M47" s="4">
        <v>46232</v>
      </c>
      <c r="N47" s="1">
        <f>WEEKNUM(Tabla2610[[#This Row],[07/09/2026]])</f>
        <v>31</v>
      </c>
      <c r="O47" s="1" t="s">
        <v>15</v>
      </c>
      <c r="P47" s="1">
        <v>300</v>
      </c>
      <c r="Q47" s="9">
        <v>10532587</v>
      </c>
      <c r="R47" s="1" t="s">
        <v>48</v>
      </c>
      <c r="S47" s="1">
        <v>6</v>
      </c>
    </row>
    <row r="48" spans="2:19" x14ac:dyDescent="0.3">
      <c r="B48" s="4">
        <v>46238</v>
      </c>
      <c r="C48" s="1">
        <f>WEEKNUM(Tabla158[[#This Row],[Fecha]])</f>
        <v>32</v>
      </c>
      <c r="D48" s="1" t="s">
        <v>30</v>
      </c>
      <c r="E48" s="1">
        <v>500</v>
      </c>
      <c r="F48" s="9">
        <v>12289497</v>
      </c>
      <c r="G48" s="1">
        <v>42</v>
      </c>
      <c r="H48" s="1">
        <v>5</v>
      </c>
      <c r="I48" s="3">
        <f>Tabla158[[#This Row],[Piezas NOK]]/Tabla158[[#This Row],[Piezas OK]]</f>
        <v>0.11904761904761904</v>
      </c>
      <c r="J48" s="1">
        <f t="shared" si="6"/>
        <v>0.88095238095238093</v>
      </c>
      <c r="K48" s="5">
        <f>Tabla158[[#This Row],[FTQ]]</f>
        <v>0.88095238095238093</v>
      </c>
      <c r="M48" s="4">
        <v>46232</v>
      </c>
      <c r="N48" s="1">
        <f>WEEKNUM(Tabla2610[[#This Row],[07/09/2026]])</f>
        <v>31</v>
      </c>
      <c r="O48" s="1" t="s">
        <v>15</v>
      </c>
      <c r="P48" s="1" t="s">
        <v>16</v>
      </c>
      <c r="Q48" s="9">
        <v>10532587</v>
      </c>
      <c r="R48" s="1" t="s">
        <v>49</v>
      </c>
      <c r="S48" s="1">
        <v>27</v>
      </c>
    </row>
    <row r="49" spans="2:19" x14ac:dyDescent="0.3">
      <c r="B49" s="4">
        <v>46238</v>
      </c>
      <c r="C49" s="1">
        <f>WEEKNUM(Tabla158[[#This Row],[Fecha]])</f>
        <v>32</v>
      </c>
      <c r="D49" s="1" t="s">
        <v>30</v>
      </c>
      <c r="E49" s="1">
        <v>600</v>
      </c>
      <c r="F49" s="9">
        <v>12289497</v>
      </c>
      <c r="G49" s="1">
        <v>42</v>
      </c>
      <c r="H49" s="1">
        <v>0</v>
      </c>
      <c r="I49" s="3">
        <f>Tabla158[[#This Row],[Piezas NOK]]/Tabla158[[#This Row],[Piezas OK]]</f>
        <v>0</v>
      </c>
      <c r="J49" s="1">
        <f t="shared" si="6"/>
        <v>1</v>
      </c>
      <c r="K49" s="5">
        <f>Tabla158[[#This Row],[FTQ]]</f>
        <v>1</v>
      </c>
      <c r="M49" s="4">
        <v>46232</v>
      </c>
      <c r="N49" s="1">
        <f>WEEKNUM(Tabla2610[[#This Row],[07/09/2026]])</f>
        <v>31</v>
      </c>
      <c r="O49" s="1" t="s">
        <v>15</v>
      </c>
      <c r="P49" s="1" t="s">
        <v>16</v>
      </c>
      <c r="Q49" s="9">
        <v>10532587</v>
      </c>
      <c r="R49" s="1" t="s">
        <v>27</v>
      </c>
      <c r="S49" s="1">
        <v>5</v>
      </c>
    </row>
    <row r="50" spans="2:19" x14ac:dyDescent="0.3">
      <c r="B50" s="4">
        <v>46238</v>
      </c>
      <c r="C50" s="1">
        <f>WEEKNUM(Tabla158[[#This Row],[Fecha]])</f>
        <v>32</v>
      </c>
      <c r="D50" s="1" t="s">
        <v>30</v>
      </c>
      <c r="E50" s="1">
        <v>700</v>
      </c>
      <c r="F50" s="9">
        <v>12289497</v>
      </c>
      <c r="G50" s="1">
        <v>42</v>
      </c>
      <c r="H50" s="1">
        <v>0</v>
      </c>
      <c r="I50" s="3">
        <f>Tabla158[[#This Row],[Piezas NOK]]/Tabla158[[#This Row],[Piezas OK]]</f>
        <v>0</v>
      </c>
      <c r="J50" s="1">
        <f t="shared" si="6"/>
        <v>1</v>
      </c>
      <c r="K50" s="5">
        <f>Tabla158[[#This Row],[FTQ]]</f>
        <v>1</v>
      </c>
      <c r="M50" s="4">
        <v>46232</v>
      </c>
      <c r="N50" s="1">
        <f>WEEKNUM(Tabla2610[[#This Row],[07/09/2026]])</f>
        <v>31</v>
      </c>
      <c r="O50" s="1" t="s">
        <v>15</v>
      </c>
      <c r="P50" s="1" t="s">
        <v>16</v>
      </c>
      <c r="Q50" s="9">
        <v>10532587</v>
      </c>
      <c r="R50" s="1" t="s">
        <v>50</v>
      </c>
      <c r="S50" s="1">
        <v>2</v>
      </c>
    </row>
    <row r="51" spans="2:19" x14ac:dyDescent="0.3">
      <c r="B51" s="4">
        <v>46238</v>
      </c>
      <c r="C51" s="1">
        <f>WEEKNUM(Tabla158[[#This Row],[Fecha]])</f>
        <v>32</v>
      </c>
      <c r="D51" s="1" t="s">
        <v>30</v>
      </c>
      <c r="E51" s="1">
        <v>800</v>
      </c>
      <c r="F51" s="9">
        <v>12289497</v>
      </c>
      <c r="G51" s="1">
        <v>42</v>
      </c>
      <c r="H51" s="1">
        <v>0</v>
      </c>
      <c r="I51" s="3">
        <f>Tabla158[[#This Row],[Piezas NOK]]/Tabla158[[#This Row],[Piezas OK]]</f>
        <v>0</v>
      </c>
      <c r="J51" s="1">
        <f t="shared" si="6"/>
        <v>1</v>
      </c>
      <c r="K51" s="5">
        <f>Tabla158[[#This Row],[FTQ]]</f>
        <v>1</v>
      </c>
      <c r="M51" s="4">
        <v>46232</v>
      </c>
      <c r="N51" s="1">
        <f>WEEKNUM(Tabla2610[[#This Row],[07/09/2026]])</f>
        <v>31</v>
      </c>
      <c r="O51" s="1" t="s">
        <v>15</v>
      </c>
      <c r="P51" s="1" t="s">
        <v>16</v>
      </c>
      <c r="Q51" s="9">
        <v>10532587</v>
      </c>
      <c r="R51" s="1" t="s">
        <v>26</v>
      </c>
      <c r="S51" s="1">
        <v>7</v>
      </c>
    </row>
    <row r="52" spans="2:19" x14ac:dyDescent="0.3">
      <c r="B52" s="4">
        <v>46232</v>
      </c>
      <c r="C52" s="1">
        <f>WEEKNUM(Tabla158[[#This Row],[Fecha]])</f>
        <v>31</v>
      </c>
      <c r="D52" s="1" t="s">
        <v>15</v>
      </c>
      <c r="E52" s="1">
        <v>100</v>
      </c>
      <c r="F52" s="9">
        <v>10532587</v>
      </c>
      <c r="G52" s="1">
        <v>120</v>
      </c>
      <c r="H52" s="1">
        <v>31</v>
      </c>
      <c r="I52" s="3">
        <f>Tabla158[[#This Row],[Piezas NOK]]/Tabla158[[#This Row],[Piezas OK]]</f>
        <v>0.25833333333333336</v>
      </c>
      <c r="J52" s="1">
        <f t="shared" ref="J52:J60" si="7">ABS(G$3-I52)</f>
        <v>0.7416666666666667</v>
      </c>
      <c r="K52" s="5">
        <f>Tabla158[[#This Row],[FTQ]]</f>
        <v>0.7416666666666667</v>
      </c>
      <c r="M52" s="4">
        <v>46239</v>
      </c>
      <c r="N52" s="1">
        <f>WEEKNUM(Tabla2610[[#This Row],[07/09/2026]])</f>
        <v>32</v>
      </c>
      <c r="O52" s="1" t="s">
        <v>15</v>
      </c>
      <c r="P52" s="1">
        <v>100</v>
      </c>
      <c r="Q52" s="9">
        <v>10532587</v>
      </c>
      <c r="R52" s="1" t="s">
        <v>51</v>
      </c>
      <c r="S52" s="1">
        <v>9</v>
      </c>
    </row>
    <row r="53" spans="2:19" x14ac:dyDescent="0.3">
      <c r="B53" s="4">
        <v>46232</v>
      </c>
      <c r="C53" s="1">
        <f>WEEKNUM(Tabla158[[#This Row],[Fecha]])</f>
        <v>31</v>
      </c>
      <c r="D53" s="1" t="s">
        <v>15</v>
      </c>
      <c r="E53" s="1">
        <v>150</v>
      </c>
      <c r="F53" s="9">
        <v>10532587</v>
      </c>
      <c r="G53" s="1">
        <v>105</v>
      </c>
      <c r="H53" s="1">
        <v>9</v>
      </c>
      <c r="I53" s="3">
        <f>Tabla158[[#This Row],[Piezas NOK]]/Tabla158[[#This Row],[Piezas OK]]</f>
        <v>8.5714285714285715E-2</v>
      </c>
      <c r="J53" s="1">
        <f t="shared" si="7"/>
        <v>0.91428571428571426</v>
      </c>
      <c r="K53" s="5">
        <f>Tabla158[[#This Row],[FTQ]]</f>
        <v>0.91428571428571426</v>
      </c>
      <c r="M53" s="4">
        <v>46239</v>
      </c>
      <c r="N53" s="1">
        <f>WEEKNUM(Tabla2610[[#This Row],[07/09/2026]])</f>
        <v>32</v>
      </c>
      <c r="O53" s="1" t="s">
        <v>15</v>
      </c>
      <c r="P53" s="1">
        <v>100</v>
      </c>
      <c r="Q53" s="9">
        <v>10532587</v>
      </c>
      <c r="R53" s="1" t="s">
        <v>45</v>
      </c>
      <c r="S53" s="1">
        <v>5</v>
      </c>
    </row>
    <row r="54" spans="2:19" x14ac:dyDescent="0.3">
      <c r="B54" s="4">
        <v>46232</v>
      </c>
      <c r="C54" s="1">
        <f>WEEKNUM(Tabla158[[#This Row],[Fecha]])</f>
        <v>31</v>
      </c>
      <c r="D54" s="1" t="s">
        <v>15</v>
      </c>
      <c r="E54" s="1">
        <v>200</v>
      </c>
      <c r="F54" s="9">
        <v>10532587</v>
      </c>
      <c r="G54" s="1">
        <v>105</v>
      </c>
      <c r="H54" s="1">
        <v>16</v>
      </c>
      <c r="I54" s="3">
        <f>Tabla158[[#This Row],[Piezas NOK]]/Tabla158[[#This Row],[Piezas OK]]</f>
        <v>0.15238095238095239</v>
      </c>
      <c r="J54" s="1">
        <f t="shared" si="7"/>
        <v>0.84761904761904761</v>
      </c>
      <c r="K54" s="5">
        <f>Tabla158[[#This Row],[FTQ]]</f>
        <v>0.84761904761904761</v>
      </c>
      <c r="M54" s="4">
        <v>46239</v>
      </c>
      <c r="N54" s="1">
        <f>WEEKNUM(Tabla2610[[#This Row],[07/09/2026]])</f>
        <v>32</v>
      </c>
      <c r="O54" s="1" t="s">
        <v>15</v>
      </c>
      <c r="P54" s="1">
        <v>200</v>
      </c>
      <c r="Q54" s="9">
        <v>10532587</v>
      </c>
      <c r="R54" s="1" t="s">
        <v>46</v>
      </c>
      <c r="S54" s="1">
        <v>18</v>
      </c>
    </row>
    <row r="55" spans="2:19" x14ac:dyDescent="0.3">
      <c r="B55" s="4">
        <v>46232</v>
      </c>
      <c r="C55" s="1">
        <f>WEEKNUM(Tabla158[[#This Row],[Fecha]])</f>
        <v>31</v>
      </c>
      <c r="D55" s="1" t="s">
        <v>15</v>
      </c>
      <c r="E55" s="1">
        <v>300</v>
      </c>
      <c r="F55" s="9">
        <v>10532587</v>
      </c>
      <c r="G55" s="1">
        <v>101</v>
      </c>
      <c r="H55" s="1">
        <v>6</v>
      </c>
      <c r="I55" s="3">
        <f>Tabla158[[#This Row],[Piezas NOK]]/Tabla158[[#This Row],[Piezas OK]]</f>
        <v>5.9405940594059403E-2</v>
      </c>
      <c r="J55" s="1">
        <f t="shared" si="7"/>
        <v>0.94059405940594054</v>
      </c>
      <c r="K55" s="5">
        <f>Tabla158[[#This Row],[FTQ]]</f>
        <v>0.94059405940594054</v>
      </c>
      <c r="M55" s="4">
        <v>46237</v>
      </c>
      <c r="N55" s="1">
        <f>WEEKNUM(Tabla2610[[#This Row],[07/09/2026]])</f>
        <v>32</v>
      </c>
      <c r="O55" s="1" t="s">
        <v>15</v>
      </c>
      <c r="P55" s="1">
        <v>300</v>
      </c>
      <c r="Q55" s="9">
        <v>10532587</v>
      </c>
      <c r="R55" s="1" t="s">
        <v>48</v>
      </c>
      <c r="S55" s="1">
        <v>6</v>
      </c>
    </row>
    <row r="56" spans="2:19" x14ac:dyDescent="0.3">
      <c r="B56" s="4">
        <v>46232</v>
      </c>
      <c r="C56" s="1">
        <f>WEEKNUM(Tabla158[[#This Row],[Fecha]])</f>
        <v>31</v>
      </c>
      <c r="D56" s="1" t="s">
        <v>15</v>
      </c>
      <c r="E56" s="1" t="s">
        <v>16</v>
      </c>
      <c r="F56" s="9">
        <v>10532587</v>
      </c>
      <c r="G56" s="1">
        <v>58</v>
      </c>
      <c r="H56" s="1">
        <v>41</v>
      </c>
      <c r="I56" s="3">
        <f>Tabla158[[#This Row],[Piezas NOK]]/Tabla158[[#This Row],[Piezas OK]]</f>
        <v>0.7068965517241379</v>
      </c>
      <c r="J56" s="1">
        <f t="shared" si="7"/>
        <v>0.2931034482758621</v>
      </c>
      <c r="K56" s="5">
        <f>Tabla158[[#This Row],[FTQ]]</f>
        <v>0.2931034482758621</v>
      </c>
      <c r="M56" s="4">
        <v>46239</v>
      </c>
      <c r="N56" s="1">
        <f>WEEKNUM(Tabla2610[[#This Row],[07/09/2026]])</f>
        <v>32</v>
      </c>
      <c r="O56" s="1" t="s">
        <v>15</v>
      </c>
      <c r="P56" s="1">
        <v>300</v>
      </c>
      <c r="Q56" s="9">
        <v>10532587</v>
      </c>
      <c r="R56" s="1" t="s">
        <v>22</v>
      </c>
      <c r="S56" s="1">
        <v>6</v>
      </c>
    </row>
    <row r="57" spans="2:19" x14ac:dyDescent="0.3">
      <c r="B57" s="4">
        <v>46237</v>
      </c>
      <c r="C57" s="1">
        <f>WEEKNUM(Tabla158[[#This Row],[Fecha]])</f>
        <v>32</v>
      </c>
      <c r="D57" s="1" t="s">
        <v>15</v>
      </c>
      <c r="E57" s="1">
        <v>100</v>
      </c>
      <c r="F57" s="9">
        <v>10532587</v>
      </c>
      <c r="G57" s="1">
        <v>174</v>
      </c>
      <c r="H57" s="1">
        <v>0</v>
      </c>
      <c r="I57" s="3">
        <f>Tabla158[[#This Row],[Piezas NOK]]/Tabla158[[#This Row],[Piezas OK]]</f>
        <v>0</v>
      </c>
      <c r="J57" s="1">
        <f t="shared" si="7"/>
        <v>1</v>
      </c>
      <c r="K57" s="5">
        <f>Tabla158[[#This Row],[FTQ]]</f>
        <v>1</v>
      </c>
      <c r="M57" s="4">
        <v>46239</v>
      </c>
      <c r="N57" s="1">
        <f>WEEKNUM(Tabla2610[[#This Row],[07/09/2026]])</f>
        <v>32</v>
      </c>
      <c r="O57" s="1" t="s">
        <v>15</v>
      </c>
      <c r="P57" s="1">
        <v>300</v>
      </c>
      <c r="Q57" s="9">
        <v>10532587</v>
      </c>
      <c r="R57" s="1" t="s">
        <v>48</v>
      </c>
      <c r="S57" s="1">
        <v>2</v>
      </c>
    </row>
    <row r="58" spans="2:19" x14ac:dyDescent="0.3">
      <c r="B58" s="4">
        <v>46237</v>
      </c>
      <c r="C58" s="1">
        <f>WEEKNUM(Tabla158[[#This Row],[Fecha]])</f>
        <v>32</v>
      </c>
      <c r="D58" s="1" t="s">
        <v>15</v>
      </c>
      <c r="E58" s="1">
        <v>150</v>
      </c>
      <c r="F58" s="9">
        <v>10532587</v>
      </c>
      <c r="G58" s="1">
        <v>174</v>
      </c>
      <c r="H58" s="1">
        <v>0</v>
      </c>
      <c r="I58" s="3">
        <f>Tabla158[[#This Row],[Piezas NOK]]/Tabla158[[#This Row],[Piezas OK]]</f>
        <v>0</v>
      </c>
      <c r="J58" s="1">
        <f t="shared" si="7"/>
        <v>1</v>
      </c>
      <c r="K58" s="5">
        <f>Tabla158[[#This Row],[FTQ]]</f>
        <v>1</v>
      </c>
      <c r="M58" s="4">
        <v>46237</v>
      </c>
      <c r="N58" s="1">
        <f>WEEKNUM(Tabla2610[[#This Row],[07/09/2026]])</f>
        <v>32</v>
      </c>
      <c r="O58" s="1" t="s">
        <v>15</v>
      </c>
      <c r="P58" s="1" t="s">
        <v>16</v>
      </c>
      <c r="Q58" s="9">
        <v>10532587</v>
      </c>
      <c r="R58" s="1" t="s">
        <v>27</v>
      </c>
      <c r="S58" s="1">
        <v>9</v>
      </c>
    </row>
    <row r="59" spans="2:19" x14ac:dyDescent="0.3">
      <c r="B59" s="4">
        <v>46237</v>
      </c>
      <c r="C59" s="1">
        <f>WEEKNUM(Tabla158[[#This Row],[Fecha]])</f>
        <v>32</v>
      </c>
      <c r="D59" s="1" t="s">
        <v>15</v>
      </c>
      <c r="E59" s="1">
        <v>200</v>
      </c>
      <c r="F59" s="9">
        <v>10532587</v>
      </c>
      <c r="G59" s="1">
        <v>174</v>
      </c>
      <c r="H59" s="1">
        <v>0</v>
      </c>
      <c r="I59" s="3">
        <f>Tabla158[[#This Row],[Piezas NOK]]/Tabla158[[#This Row],[Piezas OK]]</f>
        <v>0</v>
      </c>
      <c r="J59" s="1">
        <f t="shared" si="7"/>
        <v>1</v>
      </c>
      <c r="K59" s="5">
        <f>Tabla158[[#This Row],[FTQ]]</f>
        <v>1</v>
      </c>
      <c r="M59" s="4">
        <v>46237</v>
      </c>
      <c r="N59" s="1">
        <f>WEEKNUM(Tabla2610[[#This Row],[07/09/2026]])</f>
        <v>32</v>
      </c>
      <c r="O59" s="1" t="s">
        <v>15</v>
      </c>
      <c r="P59" s="1" t="s">
        <v>16</v>
      </c>
      <c r="Q59" s="9">
        <v>10532587</v>
      </c>
      <c r="R59" s="1" t="s">
        <v>49</v>
      </c>
      <c r="S59" s="1">
        <v>10</v>
      </c>
    </row>
    <row r="60" spans="2:19" x14ac:dyDescent="0.3">
      <c r="B60" s="4">
        <v>46237</v>
      </c>
      <c r="C60" s="1">
        <f>WEEKNUM(Tabla158[[#This Row],[Fecha]])</f>
        <v>32</v>
      </c>
      <c r="D60" s="1" t="s">
        <v>15</v>
      </c>
      <c r="E60" s="1">
        <v>300</v>
      </c>
      <c r="F60" s="9">
        <v>10532587</v>
      </c>
      <c r="G60" s="1">
        <v>174</v>
      </c>
      <c r="H60" s="1">
        <v>6</v>
      </c>
      <c r="I60" s="3">
        <f>Tabla158[[#This Row],[Piezas NOK]]/Tabla158[[#This Row],[Piezas OK]]</f>
        <v>3.4482758620689655E-2</v>
      </c>
      <c r="J60" s="1">
        <f t="shared" si="7"/>
        <v>0.96551724137931039</v>
      </c>
      <c r="K60" s="5">
        <f>Tabla158[[#This Row],[FTQ]]</f>
        <v>0.96551724137931039</v>
      </c>
      <c r="M60" s="4">
        <v>46237</v>
      </c>
      <c r="N60" s="1">
        <f>WEEKNUM(Tabla2610[[#This Row],[07/09/2026]])</f>
        <v>32</v>
      </c>
      <c r="O60" s="1" t="s">
        <v>15</v>
      </c>
      <c r="P60" s="1" t="s">
        <v>16</v>
      </c>
      <c r="Q60" s="9">
        <v>10532587</v>
      </c>
      <c r="R60" s="1" t="s">
        <v>52</v>
      </c>
      <c r="S60" s="1">
        <v>2</v>
      </c>
    </row>
    <row r="61" spans="2:19" x14ac:dyDescent="0.3">
      <c r="B61" s="4">
        <v>46237</v>
      </c>
      <c r="C61" s="1">
        <f>WEEKNUM(Tabla158[[#This Row],[Fecha]])</f>
        <v>32</v>
      </c>
      <c r="D61" s="1" t="s">
        <v>15</v>
      </c>
      <c r="E61" s="1" t="s">
        <v>16</v>
      </c>
      <c r="F61" s="9">
        <v>10532587</v>
      </c>
      <c r="G61" s="1">
        <v>150</v>
      </c>
      <c r="H61" s="1">
        <v>24</v>
      </c>
      <c r="I61" s="3">
        <f>Tabla158[[#This Row],[Piezas NOK]]/Tabla158[[#This Row],[Piezas OK]]</f>
        <v>0.16</v>
      </c>
      <c r="J61" s="1">
        <f>ABS(G$3-I61)</f>
        <v>0.84</v>
      </c>
      <c r="K61" s="5">
        <f>Tabla158[[#This Row],[FTQ]]</f>
        <v>0.84</v>
      </c>
      <c r="M61" s="4">
        <v>46237</v>
      </c>
      <c r="N61" s="1">
        <f>WEEKNUM(Tabla2610[[#This Row],[07/09/2026]])</f>
        <v>32</v>
      </c>
      <c r="O61" s="1" t="s">
        <v>15</v>
      </c>
      <c r="P61" s="1" t="s">
        <v>16</v>
      </c>
      <c r="Q61" s="9">
        <v>10532587</v>
      </c>
      <c r="R61" s="1" t="s">
        <v>53</v>
      </c>
      <c r="S61" s="1">
        <v>2</v>
      </c>
    </row>
    <row r="62" spans="2:19" x14ac:dyDescent="0.3">
      <c r="B62" s="4">
        <v>46239</v>
      </c>
      <c r="C62" s="1">
        <f>WEEKNUM(Tabla158[[#This Row],[Fecha]])</f>
        <v>32</v>
      </c>
      <c r="D62" s="1" t="s">
        <v>15</v>
      </c>
      <c r="E62" s="1">
        <v>100</v>
      </c>
      <c r="F62" s="9">
        <v>10532587</v>
      </c>
      <c r="G62" s="1">
        <v>219</v>
      </c>
      <c r="H62" s="1">
        <v>14</v>
      </c>
      <c r="I62" s="3">
        <f>Tabla158[[#This Row],[Piezas NOK]]/Tabla158[[#This Row],[Piezas OK]]</f>
        <v>6.3926940639269403E-2</v>
      </c>
      <c r="J62" s="1">
        <f t="shared" ref="J62:J66" si="8">ABS(G$3-I62)</f>
        <v>0.9360730593607306</v>
      </c>
      <c r="K62" s="5">
        <f>Tabla158[[#This Row],[FTQ]]</f>
        <v>0.9360730593607306</v>
      </c>
      <c r="M62" s="4">
        <v>46237</v>
      </c>
      <c r="N62" s="1">
        <f>WEEKNUM(Tabla2610[[#This Row],[07/09/2026]])</f>
        <v>32</v>
      </c>
      <c r="O62" s="1" t="s">
        <v>15</v>
      </c>
      <c r="P62" s="1" t="s">
        <v>16</v>
      </c>
      <c r="Q62" s="9">
        <v>10532587</v>
      </c>
      <c r="R62" s="1" t="s">
        <v>54</v>
      </c>
      <c r="S62" s="1">
        <v>1</v>
      </c>
    </row>
    <row r="63" spans="2:19" x14ac:dyDescent="0.3">
      <c r="B63" s="4">
        <v>46239</v>
      </c>
      <c r="C63" s="1">
        <f>WEEKNUM(Tabla158[[#This Row],[Fecha]])</f>
        <v>32</v>
      </c>
      <c r="D63" s="1" t="s">
        <v>15</v>
      </c>
      <c r="E63" s="1">
        <v>150</v>
      </c>
      <c r="F63" s="9">
        <v>10532587</v>
      </c>
      <c r="G63" s="1">
        <v>219</v>
      </c>
      <c r="H63" s="1">
        <v>0</v>
      </c>
      <c r="I63" s="3">
        <f>Tabla158[[#This Row],[Piezas NOK]]/Tabla158[[#This Row],[Piezas OK]]</f>
        <v>0</v>
      </c>
      <c r="J63" s="1">
        <f t="shared" si="8"/>
        <v>1</v>
      </c>
      <c r="K63" s="5">
        <f>Tabla158[[#This Row],[FTQ]]</f>
        <v>1</v>
      </c>
      <c r="M63" s="4">
        <v>46237</v>
      </c>
      <c r="N63" s="1">
        <f>WEEKNUM(Tabla2610[[#This Row],[07/09/2026]])</f>
        <v>32</v>
      </c>
      <c r="O63" s="1" t="s">
        <v>15</v>
      </c>
      <c r="P63" s="1" t="s">
        <v>16</v>
      </c>
      <c r="Q63" s="9">
        <v>10532587</v>
      </c>
      <c r="R63" s="1" t="s">
        <v>55</v>
      </c>
      <c r="S63" s="1">
        <v>1</v>
      </c>
    </row>
    <row r="64" spans="2:19" x14ac:dyDescent="0.3">
      <c r="B64" s="4">
        <v>46239</v>
      </c>
      <c r="C64" s="1">
        <f>WEEKNUM(Tabla158[[#This Row],[Fecha]])</f>
        <v>32</v>
      </c>
      <c r="D64" s="1" t="s">
        <v>15</v>
      </c>
      <c r="E64" s="1">
        <v>200</v>
      </c>
      <c r="F64" s="9">
        <v>10532587</v>
      </c>
      <c r="G64" s="1">
        <v>216</v>
      </c>
      <c r="H64" s="1">
        <v>18</v>
      </c>
      <c r="I64" s="3">
        <f>Tabla158[[#This Row],[Piezas NOK]]/Tabla158[[#This Row],[Piezas OK]]</f>
        <v>8.3333333333333329E-2</v>
      </c>
      <c r="J64" s="1">
        <f t="shared" si="8"/>
        <v>0.91666666666666663</v>
      </c>
      <c r="K64" s="5">
        <f>Tabla158[[#This Row],[FTQ]]</f>
        <v>0.91666666666666663</v>
      </c>
      <c r="M64" s="4">
        <v>46239</v>
      </c>
      <c r="N64" s="1">
        <f>WEEKNUM(Tabla2610[[#This Row],[07/09/2026]])</f>
        <v>32</v>
      </c>
      <c r="O64" s="1" t="s">
        <v>15</v>
      </c>
      <c r="P64" s="1" t="s">
        <v>16</v>
      </c>
      <c r="Q64" s="9">
        <v>10532587</v>
      </c>
      <c r="R64" s="1" t="s">
        <v>27</v>
      </c>
      <c r="S64" s="1">
        <v>10</v>
      </c>
    </row>
    <row r="65" spans="2:19" x14ac:dyDescent="0.3">
      <c r="B65" s="4">
        <v>46239</v>
      </c>
      <c r="C65" s="1">
        <f>WEEKNUM(Tabla158[[#This Row],[Fecha]])</f>
        <v>32</v>
      </c>
      <c r="D65" s="1" t="s">
        <v>15</v>
      </c>
      <c r="E65" s="1">
        <v>300</v>
      </c>
      <c r="F65" s="9">
        <v>10532587</v>
      </c>
      <c r="G65" s="1">
        <v>210</v>
      </c>
      <c r="H65" s="1">
        <v>8</v>
      </c>
      <c r="I65" s="3">
        <f>Tabla158[[#This Row],[Piezas NOK]]/Tabla158[[#This Row],[Piezas OK]]</f>
        <v>3.8095238095238099E-2</v>
      </c>
      <c r="J65" s="1">
        <f t="shared" si="8"/>
        <v>0.96190476190476193</v>
      </c>
      <c r="K65" s="5">
        <f>Tabla158[[#This Row],[FTQ]]</f>
        <v>0.96190476190476193</v>
      </c>
      <c r="M65" s="4">
        <v>46239</v>
      </c>
      <c r="N65" s="1">
        <f>WEEKNUM(Tabla2610[[#This Row],[07/09/2026]])</f>
        <v>32</v>
      </c>
      <c r="O65" s="1" t="s">
        <v>15</v>
      </c>
      <c r="P65" s="1" t="s">
        <v>16</v>
      </c>
      <c r="Q65" s="9">
        <v>10532587</v>
      </c>
      <c r="R65" s="1" t="s">
        <v>29</v>
      </c>
      <c r="S65" s="1">
        <v>4</v>
      </c>
    </row>
    <row r="66" spans="2:19" x14ac:dyDescent="0.3">
      <c r="B66" s="4">
        <v>46239</v>
      </c>
      <c r="C66" s="1">
        <f>WEEKNUM(Tabla158[[#This Row],[Fecha]])</f>
        <v>32</v>
      </c>
      <c r="D66" s="1" t="s">
        <v>15</v>
      </c>
      <c r="E66" s="1" t="s">
        <v>16</v>
      </c>
      <c r="F66" s="9">
        <v>10532587</v>
      </c>
      <c r="G66" s="1">
        <v>187</v>
      </c>
      <c r="H66" s="1">
        <v>24</v>
      </c>
      <c r="I66" s="3">
        <f>Tabla158[[#This Row],[Piezas NOK]]/Tabla158[[#This Row],[Piezas OK]]</f>
        <v>0.12834224598930483</v>
      </c>
      <c r="J66" s="1">
        <f t="shared" si="8"/>
        <v>0.87165775401069512</v>
      </c>
      <c r="K66" s="5">
        <f>Tabla158[[#This Row],[FTQ]]</f>
        <v>0.87165775401069512</v>
      </c>
      <c r="M66" s="4">
        <v>46239</v>
      </c>
      <c r="N66" s="1">
        <f>WEEKNUM(Tabla2610[[#This Row],[07/09/2026]])</f>
        <v>32</v>
      </c>
      <c r="O66" s="1" t="s">
        <v>15</v>
      </c>
      <c r="P66" s="1" t="s">
        <v>16</v>
      </c>
      <c r="Q66" s="9">
        <v>10532587</v>
      </c>
      <c r="R66" s="1" t="s">
        <v>49</v>
      </c>
      <c r="S66" s="1">
        <v>10</v>
      </c>
    </row>
    <row r="67" spans="2:19" x14ac:dyDescent="0.3">
      <c r="B67" s="4">
        <v>46269</v>
      </c>
      <c r="C67" s="13">
        <f>WEEKNUM(Tabla158[[#This Row],[Fecha]])</f>
        <v>36</v>
      </c>
      <c r="D67" s="1" t="s">
        <v>30</v>
      </c>
      <c r="E67" s="1">
        <v>100</v>
      </c>
      <c r="F67" s="9">
        <v>12289507</v>
      </c>
      <c r="G67" s="1">
        <v>15</v>
      </c>
      <c r="H67" s="1">
        <v>0</v>
      </c>
      <c r="I67" s="3">
        <f>Tabla158[[#This Row],[Piezas NOK]]/Tabla158[[#This Row],[Piezas OK]]</f>
        <v>0</v>
      </c>
      <c r="J67" s="13">
        <f t="shared" ref="J67:J75" si="9">ABS(G$3-I67)</f>
        <v>1</v>
      </c>
      <c r="K67" s="11">
        <f>Tabla158[[#This Row],[FTQ]]</f>
        <v>1</v>
      </c>
      <c r="M67" s="4">
        <v>46269</v>
      </c>
      <c r="N67" s="13">
        <f>WEEKNUM(Tabla2610[[#This Row],[07/09/2026]])</f>
        <v>36</v>
      </c>
      <c r="O67" s="1" t="s">
        <v>30</v>
      </c>
      <c r="P67" s="1">
        <v>400</v>
      </c>
      <c r="Q67" s="9">
        <v>12289507</v>
      </c>
      <c r="R67" s="1" t="s">
        <v>57</v>
      </c>
      <c r="S67" s="1">
        <v>6</v>
      </c>
    </row>
    <row r="68" spans="2:19" x14ac:dyDescent="0.3">
      <c r="B68" s="4">
        <v>46269</v>
      </c>
      <c r="C68" s="13">
        <f>WEEKNUM(Tabla158[[#This Row],[Fecha]])</f>
        <v>36</v>
      </c>
      <c r="D68" s="1" t="s">
        <v>30</v>
      </c>
      <c r="E68" s="1">
        <v>200</v>
      </c>
      <c r="F68" s="9">
        <v>12289507</v>
      </c>
      <c r="G68" s="1">
        <v>15</v>
      </c>
      <c r="H68" s="1">
        <v>0</v>
      </c>
      <c r="I68" s="3">
        <f>Tabla158[[#This Row],[Piezas NOK]]/Tabla158[[#This Row],[Piezas OK]]</f>
        <v>0</v>
      </c>
      <c r="J68" s="13">
        <f t="shared" si="9"/>
        <v>1</v>
      </c>
      <c r="K68" s="5">
        <f>Tabla158[[#This Row],[FTQ]]</f>
        <v>1</v>
      </c>
      <c r="M68" s="4">
        <v>46269</v>
      </c>
      <c r="N68" s="13">
        <f>WEEKNUM(Tabla2610[[#This Row],[07/09/2026]])</f>
        <v>36</v>
      </c>
      <c r="O68" s="1" t="s">
        <v>30</v>
      </c>
      <c r="P68" s="1">
        <v>600</v>
      </c>
      <c r="Q68" s="9">
        <v>12289507</v>
      </c>
      <c r="R68" s="1" t="s">
        <v>58</v>
      </c>
      <c r="S68" s="1">
        <v>5</v>
      </c>
    </row>
    <row r="69" spans="2:19" x14ac:dyDescent="0.3">
      <c r="B69" s="4">
        <v>46269</v>
      </c>
      <c r="C69" s="13">
        <f>WEEKNUM(Tabla158[[#This Row],[Fecha]])</f>
        <v>36</v>
      </c>
      <c r="D69" s="1" t="s">
        <v>30</v>
      </c>
      <c r="E69" s="1">
        <v>300</v>
      </c>
      <c r="F69" s="9">
        <v>12289507</v>
      </c>
      <c r="G69" s="1">
        <v>15</v>
      </c>
      <c r="H69" s="1">
        <v>0</v>
      </c>
      <c r="I69" s="3">
        <f>Tabla158[[#This Row],[Piezas NOK]]/Tabla158[[#This Row],[Piezas OK]]</f>
        <v>0</v>
      </c>
      <c r="J69" s="13">
        <f t="shared" si="9"/>
        <v>1</v>
      </c>
      <c r="K69" s="5">
        <f>Tabla158[[#This Row],[FTQ]]</f>
        <v>1</v>
      </c>
      <c r="M69" s="4">
        <v>46269</v>
      </c>
      <c r="N69" s="13">
        <f>WEEKNUM(Tabla2610[[#This Row],[07/09/2026]])</f>
        <v>36</v>
      </c>
      <c r="O69" s="1" t="s">
        <v>30</v>
      </c>
      <c r="P69" s="1">
        <v>600</v>
      </c>
      <c r="Q69" s="9">
        <v>12289507</v>
      </c>
      <c r="R69" s="1" t="s">
        <v>59</v>
      </c>
      <c r="S69" s="1">
        <v>1</v>
      </c>
    </row>
    <row r="70" spans="2:19" x14ac:dyDescent="0.3">
      <c r="B70" s="4">
        <v>46269</v>
      </c>
      <c r="C70" s="13">
        <f>WEEKNUM(Tabla158[[#This Row],[Fecha]])</f>
        <v>36</v>
      </c>
      <c r="D70" s="1" t="s">
        <v>30</v>
      </c>
      <c r="E70" s="1">
        <v>400</v>
      </c>
      <c r="F70" s="9">
        <v>12289507</v>
      </c>
      <c r="G70" s="1">
        <v>15</v>
      </c>
      <c r="H70" s="1">
        <v>6</v>
      </c>
      <c r="I70" s="3">
        <f>Tabla158[[#This Row],[Piezas NOK]]/Tabla158[[#This Row],[Piezas OK]]</f>
        <v>0.4</v>
      </c>
      <c r="J70" s="13">
        <f t="shared" si="9"/>
        <v>0.6</v>
      </c>
      <c r="K70" s="5">
        <f>Tabla158[[#This Row],[FTQ]]</f>
        <v>0.6</v>
      </c>
      <c r="M70" s="4">
        <v>46269</v>
      </c>
      <c r="N70" s="13">
        <f>WEEKNUM(Tabla2610[[#This Row],[07/09/2026]])</f>
        <v>36</v>
      </c>
      <c r="O70" s="1" t="s">
        <v>30</v>
      </c>
      <c r="P70" s="1" t="s">
        <v>60</v>
      </c>
      <c r="Q70" s="9">
        <v>12289507</v>
      </c>
      <c r="R70" s="1" t="s">
        <v>74</v>
      </c>
      <c r="S70" s="1">
        <v>9</v>
      </c>
    </row>
    <row r="71" spans="2:19" x14ac:dyDescent="0.3">
      <c r="B71" s="4">
        <v>46269</v>
      </c>
      <c r="C71" s="13">
        <f>WEEKNUM(Tabla158[[#This Row],[Fecha]])</f>
        <v>36</v>
      </c>
      <c r="D71" s="1" t="s">
        <v>30</v>
      </c>
      <c r="E71" s="1">
        <v>500</v>
      </c>
      <c r="F71" s="9">
        <v>12289507</v>
      </c>
      <c r="G71" s="1">
        <v>15</v>
      </c>
      <c r="H71" s="1">
        <v>0</v>
      </c>
      <c r="I71" s="3">
        <f>Tabla158[[#This Row],[Piezas NOK]]/Tabla158[[#This Row],[Piezas OK]]</f>
        <v>0</v>
      </c>
      <c r="J71" s="13">
        <f t="shared" si="9"/>
        <v>1</v>
      </c>
      <c r="K71" s="5">
        <f>Tabla158[[#This Row],[FTQ]]</f>
        <v>1</v>
      </c>
      <c r="M71" s="4">
        <v>46272</v>
      </c>
      <c r="N71" s="13">
        <f>WEEKNUM(Tabla2610[[#This Row],[07/09/2026]])</f>
        <v>37</v>
      </c>
      <c r="O71" s="1" t="s">
        <v>30</v>
      </c>
      <c r="P71" s="1">
        <v>200</v>
      </c>
      <c r="Q71" s="9">
        <v>12289507</v>
      </c>
      <c r="R71" s="1" t="s">
        <v>62</v>
      </c>
      <c r="S71" s="1">
        <v>15</v>
      </c>
    </row>
    <row r="72" spans="2:19" x14ac:dyDescent="0.3">
      <c r="B72" s="4">
        <v>46269</v>
      </c>
      <c r="C72" s="13">
        <f>WEEKNUM(Tabla158[[#This Row],[Fecha]])</f>
        <v>36</v>
      </c>
      <c r="D72" s="1" t="s">
        <v>30</v>
      </c>
      <c r="E72" s="1">
        <v>600</v>
      </c>
      <c r="F72" s="9">
        <v>12289507</v>
      </c>
      <c r="G72" s="1">
        <v>15</v>
      </c>
      <c r="H72" s="1">
        <v>6</v>
      </c>
      <c r="I72" s="3">
        <f>Tabla158[[#This Row],[Piezas NOK]]/Tabla158[[#This Row],[Piezas OK]]</f>
        <v>0.4</v>
      </c>
      <c r="J72" s="13">
        <f t="shared" si="9"/>
        <v>0.6</v>
      </c>
      <c r="K72" s="5">
        <f>Tabla158[[#This Row],[FTQ]]</f>
        <v>0.6</v>
      </c>
      <c r="M72" s="4">
        <v>46272</v>
      </c>
      <c r="N72" s="13">
        <f>WEEKNUM(Tabla2610[[#This Row],[07/09/2026]])</f>
        <v>37</v>
      </c>
      <c r="O72" s="1" t="s">
        <v>30</v>
      </c>
      <c r="P72" s="1">
        <v>300</v>
      </c>
      <c r="Q72" s="9">
        <v>12289507</v>
      </c>
      <c r="R72" s="1" t="s">
        <v>63</v>
      </c>
      <c r="S72" s="1">
        <v>3</v>
      </c>
    </row>
    <row r="73" spans="2:19" x14ac:dyDescent="0.3">
      <c r="B73" s="4">
        <v>46269</v>
      </c>
      <c r="C73" s="13">
        <f>WEEKNUM(Tabla158[[#This Row],[Fecha]])</f>
        <v>36</v>
      </c>
      <c r="D73" s="1" t="s">
        <v>30</v>
      </c>
      <c r="E73" s="1">
        <v>700</v>
      </c>
      <c r="F73" s="9">
        <v>12289507</v>
      </c>
      <c r="G73" s="1">
        <v>15</v>
      </c>
      <c r="H73" s="1">
        <v>0</v>
      </c>
      <c r="I73" s="3">
        <f>Tabla158[[#This Row],[Piezas NOK]]/Tabla158[[#This Row],[Piezas OK]]</f>
        <v>0</v>
      </c>
      <c r="J73" s="13">
        <f t="shared" si="9"/>
        <v>1</v>
      </c>
      <c r="K73" s="5">
        <f>Tabla158[[#This Row],[FTQ]]</f>
        <v>1</v>
      </c>
      <c r="M73" s="4">
        <v>46272</v>
      </c>
      <c r="N73" s="13">
        <f>WEEKNUM(Tabla2610[[#This Row],[07/09/2026]])</f>
        <v>37</v>
      </c>
      <c r="O73" s="1" t="s">
        <v>30</v>
      </c>
      <c r="P73" s="1">
        <v>400</v>
      </c>
      <c r="Q73" s="9">
        <v>12289507</v>
      </c>
      <c r="R73" s="1" t="s">
        <v>57</v>
      </c>
      <c r="S73" s="1">
        <v>2</v>
      </c>
    </row>
    <row r="74" spans="2:19" x14ac:dyDescent="0.3">
      <c r="B74" s="4">
        <v>46269</v>
      </c>
      <c r="C74" s="13">
        <f>WEEKNUM(Tabla158[[#This Row],[Fecha]])</f>
        <v>36</v>
      </c>
      <c r="D74" s="1" t="s">
        <v>30</v>
      </c>
      <c r="E74" s="1">
        <v>800</v>
      </c>
      <c r="F74" s="9">
        <v>12289507</v>
      </c>
      <c r="G74" s="1">
        <v>15</v>
      </c>
      <c r="H74" s="1">
        <v>0</v>
      </c>
      <c r="I74" s="3">
        <f>Tabla158[[#This Row],[Piezas NOK]]/Tabla158[[#This Row],[Piezas OK]]</f>
        <v>0</v>
      </c>
      <c r="J74" s="13">
        <f t="shared" si="9"/>
        <v>1</v>
      </c>
      <c r="K74" s="5">
        <f>Tabla158[[#This Row],[FTQ]]</f>
        <v>1</v>
      </c>
      <c r="M74" s="4">
        <v>46272</v>
      </c>
      <c r="N74" s="13">
        <f>WEEKNUM(Tabla2610[[#This Row],[07/09/2026]])</f>
        <v>37</v>
      </c>
      <c r="O74" s="1" t="s">
        <v>30</v>
      </c>
      <c r="P74" s="1">
        <v>600</v>
      </c>
      <c r="Q74" s="9">
        <v>12289507</v>
      </c>
      <c r="R74" s="1" t="s">
        <v>64</v>
      </c>
      <c r="S74" s="1">
        <v>10</v>
      </c>
    </row>
    <row r="75" spans="2:19" x14ac:dyDescent="0.3">
      <c r="B75" s="4">
        <v>46269</v>
      </c>
      <c r="C75" s="13">
        <f>WEEKNUM(Tabla158[[#This Row],[Fecha]])</f>
        <v>36</v>
      </c>
      <c r="D75" s="1" t="s">
        <v>30</v>
      </c>
      <c r="E75" s="1" t="s">
        <v>56</v>
      </c>
      <c r="F75" s="9">
        <v>12289507</v>
      </c>
      <c r="G75" s="1">
        <v>15</v>
      </c>
      <c r="H75" s="1">
        <v>0</v>
      </c>
      <c r="I75" s="3">
        <f>Tabla158[[#This Row],[Piezas NOK]]/Tabla158[[#This Row],[Piezas OK]]</f>
        <v>0</v>
      </c>
      <c r="J75" s="13">
        <f t="shared" si="9"/>
        <v>1</v>
      </c>
      <c r="K75" s="5">
        <f>Tabla158[[#This Row],[FTQ]]</f>
        <v>1</v>
      </c>
      <c r="M75" s="4">
        <v>46272</v>
      </c>
      <c r="N75" s="13">
        <f>WEEKNUM(Tabla2610[[#This Row],[07/09/2026]])</f>
        <v>37</v>
      </c>
      <c r="O75" s="1" t="s">
        <v>30</v>
      </c>
      <c r="P75" s="1">
        <v>600</v>
      </c>
      <c r="Q75" s="9">
        <v>12289507</v>
      </c>
      <c r="R75" s="1" t="s">
        <v>58</v>
      </c>
      <c r="S75" s="1">
        <v>50</v>
      </c>
    </row>
    <row r="76" spans="2:19" x14ac:dyDescent="0.3">
      <c r="B76" s="4">
        <v>46269</v>
      </c>
      <c r="C76" s="13">
        <f>WEEKNUM(Tabla158[[#This Row],[Fecha]])</f>
        <v>36</v>
      </c>
      <c r="D76" s="1" t="s">
        <v>30</v>
      </c>
      <c r="E76" s="1" t="s">
        <v>60</v>
      </c>
      <c r="F76" s="9">
        <v>12289507</v>
      </c>
      <c r="G76" s="1">
        <v>14</v>
      </c>
      <c r="H76" s="1">
        <v>9</v>
      </c>
      <c r="I76" s="3">
        <f>Tabla158[[#This Row],[Piezas NOK]]/Tabla158[[#This Row],[Piezas OK]]</f>
        <v>0.6428571428571429</v>
      </c>
      <c r="J76" s="13">
        <f>ABS(G$3-I76)</f>
        <v>0.3571428571428571</v>
      </c>
      <c r="K76" s="5">
        <f>Tabla158[[#This Row],[FTQ]]</f>
        <v>0.3571428571428571</v>
      </c>
      <c r="M76" s="4">
        <v>46272</v>
      </c>
      <c r="N76" s="13">
        <f>WEEKNUM(Tabla2610[[#This Row],[07/09/2026]])</f>
        <v>37</v>
      </c>
      <c r="O76" s="1" t="s">
        <v>30</v>
      </c>
      <c r="P76" s="1">
        <v>600</v>
      </c>
      <c r="Q76" s="9">
        <v>12289507</v>
      </c>
      <c r="R76" s="1" t="s">
        <v>59</v>
      </c>
      <c r="S76" s="1">
        <v>20</v>
      </c>
    </row>
    <row r="77" spans="2:19" x14ac:dyDescent="0.3">
      <c r="B77" s="4">
        <v>46269</v>
      </c>
      <c r="C77" s="13">
        <f>WEEKNUM(Tabla158[[#This Row],[Fecha]])</f>
        <v>36</v>
      </c>
      <c r="D77" s="1" t="s">
        <v>30</v>
      </c>
      <c r="E77" s="1" t="s">
        <v>61</v>
      </c>
      <c r="F77" s="9">
        <v>12289507</v>
      </c>
      <c r="G77" s="1">
        <v>15</v>
      </c>
      <c r="H77" s="1">
        <v>0</v>
      </c>
      <c r="I77" s="3">
        <f>Tabla158[[#This Row],[Piezas NOK]]/Tabla158[[#This Row],[Piezas OK]]</f>
        <v>0</v>
      </c>
      <c r="J77" s="13">
        <f>ABS(G$3-I77)</f>
        <v>1</v>
      </c>
      <c r="K77" s="5">
        <f>Tabla158[[#This Row],[FTQ]]</f>
        <v>1</v>
      </c>
      <c r="M77" s="4">
        <v>46272</v>
      </c>
      <c r="N77" s="13">
        <f>WEEKNUM(Tabla2610[[#This Row],[07/09/2026]])</f>
        <v>37</v>
      </c>
      <c r="O77" s="1" t="s">
        <v>30</v>
      </c>
      <c r="P77" s="1">
        <v>700</v>
      </c>
      <c r="Q77" s="9">
        <v>12289507</v>
      </c>
      <c r="R77" s="1" t="s">
        <v>65</v>
      </c>
      <c r="S77" s="1">
        <v>90</v>
      </c>
    </row>
    <row r="78" spans="2:19" x14ac:dyDescent="0.3">
      <c r="B78" s="4">
        <v>46272</v>
      </c>
      <c r="C78" s="13">
        <f>WEEKNUM(Tabla158[[#This Row],[Fecha]])</f>
        <v>37</v>
      </c>
      <c r="D78" s="1" t="s">
        <v>30</v>
      </c>
      <c r="E78" s="1">
        <v>100</v>
      </c>
      <c r="F78" s="9">
        <v>12289507</v>
      </c>
      <c r="G78" s="1">
        <v>103</v>
      </c>
      <c r="H78" s="1">
        <v>0</v>
      </c>
      <c r="I78" s="3">
        <f>Tabla158[[#This Row],[Piezas NOK]]/Tabla158[[#This Row],[Piezas OK]]</f>
        <v>0</v>
      </c>
      <c r="J78" s="13">
        <f t="shared" ref="J78:J82" si="10">ABS(G$3-I78)</f>
        <v>1</v>
      </c>
      <c r="K78" s="5">
        <f>Tabla158[[#This Row],[FTQ]]</f>
        <v>1</v>
      </c>
      <c r="M78" s="4">
        <v>46272</v>
      </c>
      <c r="N78" s="13">
        <f>WEEKNUM(Tabla2610[[#This Row],[07/09/2026]])</f>
        <v>37</v>
      </c>
      <c r="O78" s="1" t="s">
        <v>30</v>
      </c>
      <c r="P78" s="1">
        <v>800</v>
      </c>
      <c r="Q78" s="9">
        <v>12289507</v>
      </c>
      <c r="R78" s="1" t="s">
        <v>66</v>
      </c>
      <c r="S78" s="1">
        <v>3</v>
      </c>
    </row>
    <row r="79" spans="2:19" x14ac:dyDescent="0.3">
      <c r="B79" s="4">
        <v>46272</v>
      </c>
      <c r="C79" s="13">
        <f>WEEKNUM(Tabla158[[#This Row],[Fecha]])</f>
        <v>37</v>
      </c>
      <c r="D79" s="1" t="s">
        <v>30</v>
      </c>
      <c r="E79" s="1">
        <v>200</v>
      </c>
      <c r="F79" s="9">
        <v>12289507</v>
      </c>
      <c r="G79" s="1">
        <v>103</v>
      </c>
      <c r="H79" s="1">
        <v>15</v>
      </c>
      <c r="I79" s="3">
        <f>Tabla158[[#This Row],[Piezas NOK]]/Tabla158[[#This Row],[Piezas OK]]</f>
        <v>0.14563106796116504</v>
      </c>
      <c r="J79" s="13">
        <f t="shared" si="10"/>
        <v>0.85436893203883502</v>
      </c>
      <c r="K79" s="5">
        <f>Tabla158[[#This Row],[FTQ]]</f>
        <v>0.85436893203883502</v>
      </c>
      <c r="M79" s="4">
        <v>46272</v>
      </c>
      <c r="N79" s="13">
        <f>WEEKNUM(Tabla2610[[#This Row],[07/09/2026]])</f>
        <v>37</v>
      </c>
      <c r="O79" s="1" t="s">
        <v>30</v>
      </c>
      <c r="P79" s="1" t="s">
        <v>67</v>
      </c>
      <c r="Q79" s="9">
        <v>12289507</v>
      </c>
      <c r="R79" s="1" t="s">
        <v>68</v>
      </c>
      <c r="S79" s="1">
        <v>69</v>
      </c>
    </row>
    <row r="80" spans="2:19" x14ac:dyDescent="0.3">
      <c r="B80" s="4">
        <v>46272</v>
      </c>
      <c r="C80" s="13">
        <f>WEEKNUM(Tabla158[[#This Row],[Fecha]])</f>
        <v>37</v>
      </c>
      <c r="D80" s="1" t="s">
        <v>30</v>
      </c>
      <c r="E80" s="1">
        <v>300</v>
      </c>
      <c r="F80" s="9">
        <v>12289507</v>
      </c>
      <c r="G80" s="1">
        <v>103</v>
      </c>
      <c r="H80" s="1">
        <v>3</v>
      </c>
      <c r="I80" s="3">
        <f>Tabla158[[#This Row],[Piezas NOK]]/Tabla158[[#This Row],[Piezas OK]]</f>
        <v>2.9126213592233011E-2</v>
      </c>
      <c r="J80" s="13">
        <f t="shared" si="10"/>
        <v>0.970873786407767</v>
      </c>
      <c r="K80" s="5">
        <f>Tabla158[[#This Row],[FTQ]]</f>
        <v>0.970873786407767</v>
      </c>
      <c r="M80" s="4">
        <v>46272</v>
      </c>
      <c r="N80" s="13">
        <f>WEEKNUM(Tabla2610[[#This Row],[07/09/2026]])</f>
        <v>37</v>
      </c>
      <c r="O80" s="1" t="s">
        <v>30</v>
      </c>
      <c r="P80" s="1" t="s">
        <v>60</v>
      </c>
      <c r="Q80" s="9">
        <v>12289507</v>
      </c>
      <c r="R80" s="1" t="s">
        <v>69</v>
      </c>
      <c r="S80" s="1">
        <v>10</v>
      </c>
    </row>
    <row r="81" spans="2:19" x14ac:dyDescent="0.3">
      <c r="B81" s="4">
        <v>46272</v>
      </c>
      <c r="C81" s="13">
        <f>WEEKNUM(Tabla158[[#This Row],[Fecha]])</f>
        <v>37</v>
      </c>
      <c r="D81" s="1" t="s">
        <v>30</v>
      </c>
      <c r="E81" s="1">
        <v>400</v>
      </c>
      <c r="F81" s="9">
        <v>12289507</v>
      </c>
      <c r="G81" s="1">
        <v>103</v>
      </c>
      <c r="H81" s="1">
        <v>2</v>
      </c>
      <c r="I81" s="3">
        <f>Tabla158[[#This Row],[Piezas NOK]]/Tabla158[[#This Row],[Piezas OK]]</f>
        <v>1.9417475728155338E-2</v>
      </c>
      <c r="J81" s="13">
        <f t="shared" si="10"/>
        <v>0.98058252427184467</v>
      </c>
      <c r="K81" s="5">
        <f>Tabla158[[#This Row],[FTQ]]</f>
        <v>0.98058252427184467</v>
      </c>
      <c r="M81" s="4">
        <v>46272</v>
      </c>
      <c r="N81" s="13">
        <f>WEEKNUM(Tabla2610[[#This Row],[07/09/2026]])</f>
        <v>37</v>
      </c>
      <c r="O81" s="1" t="s">
        <v>30</v>
      </c>
      <c r="P81" s="1" t="s">
        <v>60</v>
      </c>
      <c r="Q81" s="9">
        <v>12289507</v>
      </c>
      <c r="R81" s="1" t="s">
        <v>73</v>
      </c>
      <c r="S81" s="1">
        <v>4</v>
      </c>
    </row>
    <row r="82" spans="2:19" x14ac:dyDescent="0.3">
      <c r="B82" s="4">
        <v>46272</v>
      </c>
      <c r="C82" s="13">
        <f>WEEKNUM(Tabla158[[#This Row],[Fecha]])</f>
        <v>37</v>
      </c>
      <c r="D82" s="1" t="s">
        <v>30</v>
      </c>
      <c r="E82" s="1">
        <v>500</v>
      </c>
      <c r="F82" s="9">
        <v>12289507</v>
      </c>
      <c r="G82" s="1">
        <v>103</v>
      </c>
      <c r="H82" s="1">
        <v>0</v>
      </c>
      <c r="I82" s="3">
        <f>Tabla158[[#This Row],[Piezas NOK]]/Tabla158[[#This Row],[Piezas OK]]</f>
        <v>0</v>
      </c>
      <c r="J82" s="13">
        <f t="shared" si="10"/>
        <v>1</v>
      </c>
      <c r="K82" s="5">
        <f>Tabla158[[#This Row],[FTQ]]</f>
        <v>1</v>
      </c>
      <c r="M82" s="4">
        <v>46272</v>
      </c>
      <c r="N82" s="13">
        <f>WEEKNUM(Tabla2610[[#This Row],[07/09/2026]])</f>
        <v>37</v>
      </c>
      <c r="O82" s="1" t="s">
        <v>30</v>
      </c>
      <c r="P82" s="1" t="s">
        <v>75</v>
      </c>
      <c r="Q82" s="9">
        <v>12289507</v>
      </c>
      <c r="R82" s="1" t="s">
        <v>76</v>
      </c>
      <c r="S82" s="1">
        <v>17</v>
      </c>
    </row>
    <row r="83" spans="2:19" x14ac:dyDescent="0.3">
      <c r="B83" s="4">
        <v>46272</v>
      </c>
      <c r="C83" s="13">
        <f>WEEKNUM(Tabla158[[#This Row],[Fecha]])</f>
        <v>37</v>
      </c>
      <c r="D83" s="1" t="s">
        <v>30</v>
      </c>
      <c r="E83" s="1">
        <v>600</v>
      </c>
      <c r="F83" s="9">
        <v>12289507</v>
      </c>
      <c r="G83" s="1">
        <v>101</v>
      </c>
      <c r="H83" s="1">
        <v>80</v>
      </c>
      <c r="I83" s="3">
        <f>Tabla158[[#This Row],[Piezas NOK]]/Tabla158[[#This Row],[Piezas OK]]</f>
        <v>0.79207920792079212</v>
      </c>
      <c r="J83" s="13">
        <f t="shared" ref="J83:J89" si="11">ABS(G$3-I83)</f>
        <v>0.20792079207920788</v>
      </c>
      <c r="K83" s="5">
        <f>Tabla158[[#This Row],[FTQ]]</f>
        <v>0.20792079207920788</v>
      </c>
      <c r="M83" s="4">
        <v>46272</v>
      </c>
      <c r="N83" s="13">
        <f>WEEKNUM(Tabla2610[[#This Row],[07/09/2026]])</f>
        <v>37</v>
      </c>
      <c r="O83" s="1" t="s">
        <v>30</v>
      </c>
      <c r="P83" s="1" t="s">
        <v>77</v>
      </c>
      <c r="Q83" s="9">
        <v>12289507</v>
      </c>
      <c r="R83" s="1" t="s">
        <v>79</v>
      </c>
      <c r="S83" s="1">
        <v>7</v>
      </c>
    </row>
    <row r="84" spans="2:19" x14ac:dyDescent="0.3">
      <c r="B84" s="4">
        <v>46272</v>
      </c>
      <c r="C84" s="13">
        <f>WEEKNUM(Tabla158[[#This Row],[Fecha]])</f>
        <v>37</v>
      </c>
      <c r="D84" s="1" t="s">
        <v>30</v>
      </c>
      <c r="E84" s="1">
        <v>700</v>
      </c>
      <c r="F84" s="9">
        <v>12289507</v>
      </c>
      <c r="G84" s="1">
        <v>101</v>
      </c>
      <c r="H84" s="1">
        <v>90</v>
      </c>
      <c r="I84" s="3">
        <f>Tabla158[[#This Row],[Piezas NOK]]/Tabla158[[#This Row],[Piezas OK]]</f>
        <v>0.8910891089108911</v>
      </c>
      <c r="J84" s="13">
        <f t="shared" si="11"/>
        <v>0.1089108910891089</v>
      </c>
      <c r="K84" s="5">
        <f>Tabla158[[#This Row],[FTQ]]</f>
        <v>0.1089108910891089</v>
      </c>
      <c r="M84" s="4">
        <v>46272</v>
      </c>
      <c r="N84" s="13">
        <f>WEEKNUM(Tabla2610[[#This Row],[07/09/2026]])</f>
        <v>37</v>
      </c>
      <c r="O84" s="1" t="s">
        <v>30</v>
      </c>
      <c r="P84" s="1" t="s">
        <v>77</v>
      </c>
      <c r="Q84" s="9">
        <v>12289507</v>
      </c>
      <c r="R84" s="1" t="s">
        <v>80</v>
      </c>
      <c r="S84" s="1">
        <v>7</v>
      </c>
    </row>
    <row r="85" spans="2:19" x14ac:dyDescent="0.3">
      <c r="B85" s="4">
        <v>46272</v>
      </c>
      <c r="C85" s="13">
        <f>WEEKNUM(Tabla158[[#This Row],[Fecha]])</f>
        <v>37</v>
      </c>
      <c r="D85" s="1" t="s">
        <v>30</v>
      </c>
      <c r="E85" s="1">
        <v>800</v>
      </c>
      <c r="F85" s="9">
        <v>12289507</v>
      </c>
      <c r="G85" s="1">
        <v>101</v>
      </c>
      <c r="H85" s="1">
        <v>3</v>
      </c>
      <c r="I85" s="3">
        <f>Tabla158[[#This Row],[Piezas NOK]]/Tabla158[[#This Row],[Piezas OK]]</f>
        <v>2.9702970297029702E-2</v>
      </c>
      <c r="J85" s="13">
        <f t="shared" si="11"/>
        <v>0.97029702970297027</v>
      </c>
      <c r="K85" s="5">
        <f>Tabla158[[#This Row],[FTQ]]</f>
        <v>0.97029702970297027</v>
      </c>
      <c r="M85" s="4"/>
    </row>
    <row r="86" spans="2:19" x14ac:dyDescent="0.3">
      <c r="B86" s="4">
        <v>46272</v>
      </c>
      <c r="C86" s="13">
        <f>WEEKNUM(Tabla158[[#This Row],[Fecha]])</f>
        <v>37</v>
      </c>
      <c r="D86" s="1" t="s">
        <v>30</v>
      </c>
      <c r="E86" s="1" t="s">
        <v>67</v>
      </c>
      <c r="F86" s="9">
        <v>12289507</v>
      </c>
      <c r="G86" s="1">
        <v>100</v>
      </c>
      <c r="H86" s="1">
        <v>69</v>
      </c>
      <c r="I86" s="3">
        <f>Tabla158[[#This Row],[Piezas NOK]]/Tabla158[[#This Row],[Piezas OK]]</f>
        <v>0.69</v>
      </c>
      <c r="J86" s="13">
        <f t="shared" si="11"/>
        <v>0.31000000000000005</v>
      </c>
      <c r="K86" s="5">
        <f>Tabla158[[#This Row],[FTQ]]</f>
        <v>0.31000000000000005</v>
      </c>
      <c r="M86" s="4"/>
    </row>
    <row r="87" spans="2:19" x14ac:dyDescent="0.3">
      <c r="B87" s="4">
        <v>46272</v>
      </c>
      <c r="C87" s="13">
        <f>WEEKNUM(Tabla158[[#This Row],[Fecha]])</f>
        <v>37</v>
      </c>
      <c r="D87" s="1" t="s">
        <v>30</v>
      </c>
      <c r="E87" s="1" t="s">
        <v>60</v>
      </c>
      <c r="F87" s="9">
        <v>12289507</v>
      </c>
      <c r="G87" s="1">
        <v>86</v>
      </c>
      <c r="H87" s="1">
        <v>14</v>
      </c>
      <c r="I87" s="3">
        <f>Tabla158[[#This Row],[Piezas NOK]]/Tabla158[[#This Row],[Piezas OK]]</f>
        <v>0.16279069767441862</v>
      </c>
      <c r="J87" s="13">
        <f t="shared" si="11"/>
        <v>0.83720930232558133</v>
      </c>
      <c r="K87" s="5">
        <f>Tabla158[[#This Row],[FTQ]]</f>
        <v>0.83720930232558133</v>
      </c>
      <c r="M87" s="4"/>
    </row>
    <row r="88" spans="2:19" x14ac:dyDescent="0.3">
      <c r="B88" s="4">
        <v>46272</v>
      </c>
      <c r="C88" s="13">
        <f>WEEKNUM(Tabla158[[#This Row],[Fecha]])</f>
        <v>37</v>
      </c>
      <c r="D88" s="1" t="s">
        <v>30</v>
      </c>
      <c r="E88" s="1" t="s">
        <v>61</v>
      </c>
      <c r="F88" s="9">
        <v>12289507</v>
      </c>
      <c r="G88" s="1">
        <v>83</v>
      </c>
      <c r="H88" s="1">
        <v>17</v>
      </c>
      <c r="I88" s="3">
        <f>Tabla158[[#This Row],[Piezas NOK]]/Tabla158[[#This Row],[Piezas OK]]</f>
        <v>0.20481927710843373</v>
      </c>
      <c r="J88" s="13">
        <f>ABS(G$3-I88)</f>
        <v>0.79518072289156627</v>
      </c>
      <c r="K88" s="5">
        <f>Tabla158[[#This Row],[FTQ]]</f>
        <v>0.79518072289156627</v>
      </c>
      <c r="M88" s="4"/>
    </row>
    <row r="89" spans="2:19" x14ac:dyDescent="0.3">
      <c r="B89" s="4">
        <v>46272</v>
      </c>
      <c r="C89" s="13">
        <f>WEEKNUM(Tabla158[[#This Row],[Fecha]])</f>
        <v>37</v>
      </c>
      <c r="D89" s="1" t="s">
        <v>30</v>
      </c>
      <c r="E89" s="1" t="s">
        <v>77</v>
      </c>
      <c r="F89" s="9">
        <v>12289507</v>
      </c>
      <c r="G89" s="1">
        <v>45</v>
      </c>
      <c r="H89" s="1">
        <v>7</v>
      </c>
      <c r="I89" s="3">
        <f>Tabla158[[#This Row],[Piezas NOK]]/Tabla158[[#This Row],[Piezas OK]]</f>
        <v>0.15555555555555556</v>
      </c>
      <c r="J89" s="13">
        <f t="shared" si="11"/>
        <v>0.84444444444444444</v>
      </c>
      <c r="K89" s="5">
        <f>Tabla158[[#This Row],[FTQ]]</f>
        <v>0.84444444444444444</v>
      </c>
      <c r="M89" s="4"/>
    </row>
    <row r="90" spans="2:19" x14ac:dyDescent="0.3">
      <c r="B90" s="4">
        <v>46272</v>
      </c>
      <c r="C90" s="13">
        <f>WEEKNUM(Tabla158[[#This Row],[Fecha]])</f>
        <v>37</v>
      </c>
      <c r="D90" s="1" t="s">
        <v>30</v>
      </c>
      <c r="E90" s="1" t="s">
        <v>78</v>
      </c>
      <c r="F90" s="9">
        <v>12289507</v>
      </c>
      <c r="G90" s="1">
        <v>33</v>
      </c>
      <c r="H90" s="1">
        <v>7</v>
      </c>
      <c r="I90" s="3">
        <f>Tabla158[[#This Row],[Piezas NOK]]/Tabla158[[#This Row],[Piezas OK]]</f>
        <v>0.21212121212121213</v>
      </c>
      <c r="J90" s="13">
        <f>ABS(G$3-I90)</f>
        <v>0.78787878787878785</v>
      </c>
      <c r="K90" s="5">
        <f>Tabla158[[#This Row],[FTQ]]</f>
        <v>0.78787878787878785</v>
      </c>
      <c r="M90" s="4"/>
    </row>
    <row r="91" spans="2:19" x14ac:dyDescent="0.3">
      <c r="B91" s="4"/>
      <c r="I91" s="3"/>
      <c r="J91" s="1"/>
      <c r="K91" s="5"/>
      <c r="M91" s="4"/>
    </row>
    <row r="92" spans="2:19" x14ac:dyDescent="0.3">
      <c r="B92" s="4"/>
      <c r="I92" s="3"/>
      <c r="J92" s="1"/>
      <c r="K92" s="5"/>
      <c r="M92" s="4"/>
    </row>
    <row r="93" spans="2:19" x14ac:dyDescent="0.3">
      <c r="B93" s="4"/>
      <c r="I93" s="3"/>
      <c r="J93" s="1"/>
      <c r="K93" s="5"/>
      <c r="M93" s="4"/>
    </row>
    <row r="94" spans="2:19" x14ac:dyDescent="0.3">
      <c r="B94" s="4"/>
      <c r="I94" s="3"/>
      <c r="J94" s="1"/>
      <c r="K94" s="5"/>
      <c r="M94" s="4"/>
    </row>
    <row r="95" spans="2:19" x14ac:dyDescent="0.3">
      <c r="B95" s="4"/>
      <c r="I95" s="3"/>
      <c r="J95" s="1"/>
      <c r="K95" s="5"/>
      <c r="M95" s="4"/>
    </row>
    <row r="96" spans="2:19" x14ac:dyDescent="0.3">
      <c r="B96" s="4"/>
      <c r="I96" s="3"/>
      <c r="J96" s="1"/>
      <c r="K96" s="5"/>
      <c r="M96" s="4"/>
    </row>
    <row r="97" spans="2:13" x14ac:dyDescent="0.3">
      <c r="B97" s="4"/>
      <c r="I97" s="3"/>
      <c r="J97" s="1"/>
      <c r="K97" s="5"/>
      <c r="M97" s="4"/>
    </row>
    <row r="98" spans="2:13" x14ac:dyDescent="0.3">
      <c r="B98" s="4"/>
      <c r="I98" s="3"/>
      <c r="J98" s="1"/>
      <c r="K98" s="5"/>
      <c r="M98" s="4"/>
    </row>
    <row r="99" spans="2:13" x14ac:dyDescent="0.3">
      <c r="B99" s="4"/>
      <c r="I99" s="3"/>
      <c r="J99" s="1"/>
      <c r="K99" s="5"/>
      <c r="M99" s="4"/>
    </row>
    <row r="100" spans="2:13" x14ac:dyDescent="0.3">
      <c r="B100" s="4"/>
      <c r="I100" s="3"/>
      <c r="J100" s="1"/>
      <c r="K100" s="5"/>
      <c r="M100" s="4"/>
    </row>
    <row r="101" spans="2:13" x14ac:dyDescent="0.3">
      <c r="B101" s="4"/>
      <c r="I101" s="3"/>
      <c r="J101" s="1"/>
      <c r="K101" s="5"/>
      <c r="M101" s="4"/>
    </row>
    <row r="102" spans="2:13" x14ac:dyDescent="0.3">
      <c r="B102" s="4"/>
      <c r="I102" s="3"/>
      <c r="J102" s="1"/>
      <c r="K102" s="5"/>
      <c r="M102" s="4"/>
    </row>
    <row r="103" spans="2:13" x14ac:dyDescent="0.3">
      <c r="B103" s="4"/>
      <c r="I103" s="3"/>
      <c r="J103" s="1"/>
      <c r="K103" s="5"/>
      <c r="M103" s="4"/>
    </row>
    <row r="104" spans="2:13" x14ac:dyDescent="0.3">
      <c r="B104" s="4"/>
      <c r="I104" s="3"/>
      <c r="J104" s="1"/>
      <c r="K104" s="5"/>
      <c r="M104" s="4"/>
    </row>
    <row r="105" spans="2:13" x14ac:dyDescent="0.3">
      <c r="B105" s="4"/>
      <c r="I105" s="3"/>
      <c r="J105" s="1"/>
      <c r="K105" s="5"/>
      <c r="M105" s="4"/>
    </row>
    <row r="106" spans="2:13" x14ac:dyDescent="0.3">
      <c r="B106" s="4"/>
      <c r="I106" s="3"/>
      <c r="J106" s="1"/>
      <c r="K106" s="5"/>
      <c r="M106" s="4"/>
    </row>
    <row r="107" spans="2:13" x14ac:dyDescent="0.3">
      <c r="B107" s="4"/>
      <c r="I107" s="3"/>
      <c r="J107" s="1"/>
      <c r="K107" s="5"/>
      <c r="M107" s="4"/>
    </row>
    <row r="108" spans="2:13" x14ac:dyDescent="0.3">
      <c r="B108" s="4"/>
      <c r="I108" s="3"/>
      <c r="J108" s="1"/>
      <c r="K108" s="5"/>
      <c r="M108" s="4"/>
    </row>
    <row r="109" spans="2:13" x14ac:dyDescent="0.3">
      <c r="B109" s="4"/>
      <c r="I109" s="3"/>
      <c r="J109" s="1"/>
      <c r="K109" s="5"/>
      <c r="M109" s="4"/>
    </row>
    <row r="110" spans="2:13" x14ac:dyDescent="0.3">
      <c r="B110" s="4"/>
      <c r="I110" s="3"/>
      <c r="J110" s="1"/>
      <c r="K110" s="5"/>
      <c r="M110" s="4"/>
    </row>
    <row r="111" spans="2:13" x14ac:dyDescent="0.3">
      <c r="B111" s="4"/>
      <c r="I111" s="3"/>
      <c r="J111" s="1"/>
      <c r="K111" s="5"/>
      <c r="M111" s="4"/>
    </row>
    <row r="112" spans="2:13" x14ac:dyDescent="0.3">
      <c r="B112" s="4"/>
      <c r="I112" s="3"/>
      <c r="J112" s="1"/>
      <c r="K112" s="5"/>
      <c r="M112" s="4"/>
    </row>
    <row r="113" spans="2:13" x14ac:dyDescent="0.3">
      <c r="B113" s="4"/>
      <c r="I113" s="3"/>
      <c r="J113" s="1"/>
      <c r="K113" s="5"/>
      <c r="M113" s="4"/>
    </row>
    <row r="114" spans="2:13" x14ac:dyDescent="0.3">
      <c r="B114" s="4"/>
      <c r="I114" s="3"/>
      <c r="J114" s="1"/>
      <c r="K114" s="5"/>
      <c r="M114" s="4"/>
    </row>
    <row r="115" spans="2:13" x14ac:dyDescent="0.3">
      <c r="B115" s="4"/>
      <c r="I115" s="3"/>
      <c r="J115" s="1"/>
      <c r="K115" s="5"/>
      <c r="M115" s="4"/>
    </row>
    <row r="116" spans="2:13" x14ac:dyDescent="0.3">
      <c r="B116" s="4"/>
      <c r="I116" s="3"/>
      <c r="J116" s="1"/>
      <c r="K116" s="5"/>
      <c r="M116" s="4"/>
    </row>
    <row r="117" spans="2:13" x14ac:dyDescent="0.3">
      <c r="B117" s="4"/>
      <c r="I117" s="3"/>
      <c r="J117" s="1"/>
      <c r="K117" s="5"/>
      <c r="M117" s="4"/>
    </row>
    <row r="118" spans="2:13" x14ac:dyDescent="0.3">
      <c r="B118" s="4"/>
      <c r="I118" s="3"/>
      <c r="J118" s="1"/>
      <c r="K118" s="5"/>
      <c r="M118" s="4"/>
    </row>
    <row r="119" spans="2:13" x14ac:dyDescent="0.3">
      <c r="B119" s="4"/>
      <c r="I119" s="3"/>
      <c r="J119" s="1"/>
      <c r="K119" s="5"/>
      <c r="M119" s="4"/>
    </row>
    <row r="120" spans="2:13" x14ac:dyDescent="0.3">
      <c r="B120" s="4"/>
      <c r="I120" s="3"/>
      <c r="J120" s="1"/>
      <c r="K120" s="5"/>
      <c r="M120" s="4"/>
    </row>
    <row r="121" spans="2:13" x14ac:dyDescent="0.3">
      <c r="B121" s="4"/>
      <c r="I121" s="3"/>
      <c r="J121" s="1"/>
      <c r="K121" s="5"/>
      <c r="M121" s="4"/>
    </row>
    <row r="122" spans="2:13" x14ac:dyDescent="0.3">
      <c r="B122" s="4"/>
      <c r="I122" s="3"/>
      <c r="J122" s="1"/>
      <c r="K122" s="5"/>
      <c r="M122" s="4"/>
    </row>
    <row r="123" spans="2:13" x14ac:dyDescent="0.3">
      <c r="B123" s="4"/>
      <c r="I123" s="3"/>
      <c r="J123" s="1"/>
      <c r="K123" s="5"/>
      <c r="M123" s="4"/>
    </row>
    <row r="124" spans="2:13" x14ac:dyDescent="0.3">
      <c r="B124" s="4"/>
      <c r="I124" s="3"/>
      <c r="J124" s="1"/>
      <c r="K124" s="5"/>
      <c r="M124" s="4"/>
    </row>
    <row r="125" spans="2:13" x14ac:dyDescent="0.3">
      <c r="B125" s="4"/>
      <c r="I125" s="3"/>
      <c r="J125" s="1"/>
      <c r="K125" s="5"/>
      <c r="M125" s="4"/>
    </row>
    <row r="126" spans="2:13" x14ac:dyDescent="0.3">
      <c r="B126" s="4"/>
      <c r="I126" s="3"/>
      <c r="J126" s="1"/>
      <c r="K126" s="5"/>
      <c r="M126" s="4"/>
    </row>
    <row r="127" spans="2:13" x14ac:dyDescent="0.3">
      <c r="B127" s="4"/>
      <c r="I127" s="3"/>
      <c r="J127" s="1"/>
      <c r="K127" s="5"/>
      <c r="M127" s="4"/>
    </row>
    <row r="128" spans="2:13" x14ac:dyDescent="0.3">
      <c r="B128" s="4"/>
      <c r="I128" s="3"/>
      <c r="J128" s="1"/>
      <c r="K128" s="5"/>
      <c r="M128" s="4"/>
    </row>
    <row r="129" spans="2:13" x14ac:dyDescent="0.3">
      <c r="B129" s="4"/>
      <c r="I129" s="3"/>
      <c r="J129" s="1"/>
      <c r="K129" s="5"/>
      <c r="M129" s="4"/>
    </row>
    <row r="130" spans="2:13" x14ac:dyDescent="0.3">
      <c r="B130" s="4"/>
      <c r="I130" s="3"/>
      <c r="J130" s="1"/>
      <c r="K130" s="5"/>
      <c r="M130" s="4"/>
    </row>
    <row r="131" spans="2:13" x14ac:dyDescent="0.3">
      <c r="B131" s="4"/>
      <c r="I131" s="3"/>
      <c r="J131" s="1"/>
      <c r="K131" s="5"/>
      <c r="M131" s="4"/>
    </row>
    <row r="132" spans="2:13" x14ac:dyDescent="0.3">
      <c r="B132" s="4"/>
      <c r="I132" s="3"/>
      <c r="J132" s="1"/>
      <c r="K132" s="5"/>
      <c r="M132" s="4"/>
    </row>
    <row r="133" spans="2:13" x14ac:dyDescent="0.3">
      <c r="B133" s="4"/>
      <c r="I133" s="3"/>
      <c r="J133" s="1"/>
      <c r="K133" s="5"/>
      <c r="M133" s="4"/>
    </row>
    <row r="134" spans="2:13" x14ac:dyDescent="0.3">
      <c r="B134" s="4"/>
      <c r="I134" s="3"/>
      <c r="J134" s="1"/>
      <c r="K134" s="5"/>
      <c r="M134" s="4"/>
    </row>
    <row r="135" spans="2:13" x14ac:dyDescent="0.3">
      <c r="B135" s="4"/>
      <c r="I135" s="3"/>
      <c r="J135" s="1"/>
      <c r="K135" s="5"/>
      <c r="M135" s="4"/>
    </row>
    <row r="136" spans="2:13" x14ac:dyDescent="0.3">
      <c r="B136" s="4"/>
      <c r="I136" s="3"/>
      <c r="J136" s="1"/>
      <c r="K136" s="5"/>
      <c r="M136" s="4"/>
    </row>
    <row r="137" spans="2:13" x14ac:dyDescent="0.3">
      <c r="B137" s="4"/>
      <c r="I137" s="3"/>
      <c r="J137" s="1"/>
      <c r="K137" s="5"/>
      <c r="M137" s="4"/>
    </row>
    <row r="138" spans="2:13" x14ac:dyDescent="0.3">
      <c r="B138" s="4"/>
      <c r="I138" s="3"/>
      <c r="J138" s="1"/>
      <c r="K138" s="5"/>
      <c r="M138" s="4"/>
    </row>
    <row r="139" spans="2:13" x14ac:dyDescent="0.3">
      <c r="B139" s="4"/>
      <c r="I139" s="3"/>
      <c r="J139" s="1"/>
      <c r="K139" s="5"/>
      <c r="M139" s="4"/>
    </row>
    <row r="140" spans="2:13" x14ac:dyDescent="0.3">
      <c r="B140" s="4"/>
      <c r="I140" s="3"/>
      <c r="J140" s="1"/>
      <c r="K140" s="5"/>
      <c r="M140" s="4"/>
    </row>
    <row r="141" spans="2:13" x14ac:dyDescent="0.3">
      <c r="B141" s="4"/>
      <c r="I141" s="3"/>
      <c r="J141" s="1"/>
      <c r="K141" s="5"/>
      <c r="M141" s="4"/>
    </row>
    <row r="142" spans="2:13" x14ac:dyDescent="0.3">
      <c r="B142" s="4"/>
      <c r="I142" s="3"/>
      <c r="J142" s="1"/>
      <c r="K142" s="5"/>
      <c r="M142" s="4"/>
    </row>
    <row r="143" spans="2:13" x14ac:dyDescent="0.3">
      <c r="B143" s="4"/>
      <c r="I143" s="3"/>
      <c r="J143" s="1"/>
      <c r="K143" s="5"/>
      <c r="M143" s="4"/>
    </row>
    <row r="144" spans="2:13" x14ac:dyDescent="0.3">
      <c r="B144" s="4"/>
      <c r="I144" s="3"/>
      <c r="J144" s="1"/>
      <c r="K144" s="5"/>
      <c r="M144" s="4"/>
    </row>
    <row r="145" spans="2:13" x14ac:dyDescent="0.3">
      <c r="B145" s="4"/>
      <c r="I145" s="3"/>
      <c r="J145" s="1"/>
      <c r="K145" s="5"/>
      <c r="M145" s="4"/>
    </row>
    <row r="146" spans="2:13" x14ac:dyDescent="0.3">
      <c r="B146" s="4"/>
      <c r="I146" s="3"/>
      <c r="J146" s="1"/>
      <c r="K146" s="5"/>
      <c r="M146" s="4"/>
    </row>
    <row r="147" spans="2:13" x14ac:dyDescent="0.3">
      <c r="B147" s="4"/>
      <c r="I147" s="3"/>
      <c r="J147" s="1"/>
      <c r="K147" s="5"/>
      <c r="M147" s="4"/>
    </row>
    <row r="148" spans="2:13" x14ac:dyDescent="0.3">
      <c r="B148" s="4"/>
      <c r="I148" s="3"/>
      <c r="J148" s="1"/>
      <c r="K148" s="5"/>
      <c r="M148" s="4"/>
    </row>
    <row r="149" spans="2:13" x14ac:dyDescent="0.3">
      <c r="B149" s="4"/>
      <c r="I149" s="3"/>
      <c r="J149" s="1"/>
      <c r="K149" s="5"/>
      <c r="M149" s="4"/>
    </row>
    <row r="150" spans="2:13" x14ac:dyDescent="0.3">
      <c r="B150" s="4"/>
      <c r="I150" s="3"/>
      <c r="J150" s="1"/>
      <c r="K150" s="5"/>
      <c r="M150" s="4"/>
    </row>
    <row r="151" spans="2:13" x14ac:dyDescent="0.3">
      <c r="B151" s="4"/>
      <c r="I151" s="3"/>
      <c r="J151" s="1"/>
      <c r="K151" s="5"/>
      <c r="M151" s="4"/>
    </row>
    <row r="152" spans="2:13" x14ac:dyDescent="0.3">
      <c r="B152" s="4"/>
      <c r="I152" s="3"/>
      <c r="J152" s="1"/>
      <c r="K152" s="5"/>
      <c r="M152" s="4"/>
    </row>
    <row r="153" spans="2:13" x14ac:dyDescent="0.3">
      <c r="B153" s="4"/>
      <c r="I153" s="3"/>
      <c r="J153" s="1"/>
      <c r="K153" s="5"/>
      <c r="M153" s="4"/>
    </row>
    <row r="154" spans="2:13" x14ac:dyDescent="0.3">
      <c r="B154" s="4"/>
      <c r="I154" s="3"/>
      <c r="J154" s="1"/>
      <c r="K154" s="5"/>
      <c r="M154" s="4"/>
    </row>
    <row r="155" spans="2:13" x14ac:dyDescent="0.3">
      <c r="B155" s="4"/>
      <c r="I155" s="3"/>
      <c r="J155" s="1"/>
      <c r="K155" s="5"/>
      <c r="M155" s="4"/>
    </row>
    <row r="156" spans="2:13" x14ac:dyDescent="0.3">
      <c r="B156" s="4"/>
      <c r="I156" s="3"/>
      <c r="J156" s="1"/>
      <c r="K156" s="5"/>
      <c r="M156" s="4"/>
    </row>
    <row r="157" spans="2:13" x14ac:dyDescent="0.3">
      <c r="B157" s="4"/>
      <c r="I157" s="3"/>
      <c r="J157" s="1"/>
      <c r="K157" s="5"/>
      <c r="M157" s="4"/>
    </row>
    <row r="158" spans="2:13" x14ac:dyDescent="0.3">
      <c r="B158" s="4"/>
      <c r="I158" s="3"/>
      <c r="J158" s="1"/>
      <c r="K158" s="5"/>
      <c r="M158" s="4"/>
    </row>
    <row r="159" spans="2:13" x14ac:dyDescent="0.3">
      <c r="B159" s="4"/>
      <c r="I159" s="3"/>
      <c r="J159" s="1"/>
      <c r="K159" s="5"/>
      <c r="M159" s="4"/>
    </row>
    <row r="160" spans="2:13" x14ac:dyDescent="0.3">
      <c r="B160" s="4"/>
      <c r="I160" s="3"/>
      <c r="J160" s="1"/>
      <c r="K160" s="5"/>
      <c r="M160" s="4"/>
    </row>
    <row r="161" spans="2:13" x14ac:dyDescent="0.3">
      <c r="B161" s="4"/>
      <c r="I161" s="3"/>
      <c r="J161" s="1"/>
      <c r="K161" s="5"/>
      <c r="M161" s="4"/>
    </row>
    <row r="162" spans="2:13" x14ac:dyDescent="0.3">
      <c r="B162" s="4"/>
      <c r="I162" s="3"/>
      <c r="J162" s="1"/>
      <c r="K162" s="5"/>
      <c r="M162" s="4"/>
    </row>
    <row r="163" spans="2:13" x14ac:dyDescent="0.3">
      <c r="B163" s="4"/>
      <c r="I163" s="3"/>
      <c r="J163" s="1"/>
      <c r="K163" s="5"/>
      <c r="M163" s="4"/>
    </row>
    <row r="164" spans="2:13" x14ac:dyDescent="0.3">
      <c r="B164" s="4"/>
      <c r="I164" s="3"/>
      <c r="J164" s="1"/>
      <c r="K164" s="5"/>
      <c r="M164" s="4"/>
    </row>
    <row r="165" spans="2:13" x14ac:dyDescent="0.3">
      <c r="B165" s="4"/>
      <c r="I165" s="3"/>
      <c r="J165" s="1"/>
      <c r="K165" s="5"/>
      <c r="M165" s="4"/>
    </row>
    <row r="166" spans="2:13" x14ac:dyDescent="0.3">
      <c r="B166" s="4"/>
      <c r="I166" s="3"/>
      <c r="J166" s="1"/>
      <c r="K166" s="5"/>
      <c r="M166" s="4"/>
    </row>
    <row r="167" spans="2:13" x14ac:dyDescent="0.3">
      <c r="B167" s="4"/>
      <c r="I167" s="3"/>
      <c r="J167" s="1"/>
      <c r="K167" s="5"/>
      <c r="M167" s="4"/>
    </row>
    <row r="168" spans="2:13" x14ac:dyDescent="0.3">
      <c r="B168" s="4"/>
      <c r="I168" s="3"/>
      <c r="J168" s="1"/>
      <c r="K168" s="5"/>
      <c r="M168" s="4"/>
    </row>
    <row r="169" spans="2:13" x14ac:dyDescent="0.3">
      <c r="B169" s="4"/>
      <c r="I169" s="3"/>
      <c r="J169" s="1"/>
      <c r="K169" s="5"/>
      <c r="M169" s="4"/>
    </row>
    <row r="170" spans="2:13" x14ac:dyDescent="0.3">
      <c r="B170" s="4"/>
      <c r="I170" s="3"/>
      <c r="J170" s="1"/>
      <c r="K170" s="5"/>
      <c r="M170" s="4"/>
    </row>
    <row r="171" spans="2:13" x14ac:dyDescent="0.3">
      <c r="B171" s="4"/>
      <c r="I171" s="3"/>
      <c r="J171" s="1"/>
      <c r="K171" s="5"/>
      <c r="M171" s="4"/>
    </row>
    <row r="172" spans="2:13" x14ac:dyDescent="0.3">
      <c r="B172" s="4"/>
      <c r="I172" s="3"/>
      <c r="J172" s="1"/>
      <c r="K172" s="5"/>
      <c r="M172" s="4"/>
    </row>
    <row r="173" spans="2:13" x14ac:dyDescent="0.3">
      <c r="B173" s="4"/>
      <c r="I173" s="3"/>
      <c r="J173" s="1"/>
      <c r="K173" s="5"/>
      <c r="M173" s="4"/>
    </row>
    <row r="174" spans="2:13" x14ac:dyDescent="0.3">
      <c r="B174" s="4"/>
      <c r="I174" s="3"/>
      <c r="J174" s="1"/>
      <c r="K174" s="5"/>
      <c r="M174" s="4"/>
    </row>
    <row r="175" spans="2:13" x14ac:dyDescent="0.3">
      <c r="B175" s="4"/>
      <c r="I175" s="3"/>
      <c r="J175" s="1"/>
      <c r="K175" s="5"/>
      <c r="M175" s="4"/>
    </row>
    <row r="176" spans="2:13" x14ac:dyDescent="0.3">
      <c r="B176" s="4"/>
      <c r="I176" s="3"/>
      <c r="J176" s="1"/>
      <c r="K176" s="5"/>
      <c r="M176" s="4"/>
    </row>
    <row r="177" spans="2:13" x14ac:dyDescent="0.3">
      <c r="B177" s="4"/>
      <c r="I177" s="3"/>
      <c r="J177" s="1"/>
      <c r="K177" s="5"/>
      <c r="M177" s="4"/>
    </row>
    <row r="178" spans="2:13" x14ac:dyDescent="0.3">
      <c r="B178" s="4"/>
      <c r="I178" s="3"/>
      <c r="J178" s="1"/>
      <c r="K178" s="5"/>
      <c r="M178" s="4"/>
    </row>
    <row r="179" spans="2:13" x14ac:dyDescent="0.3">
      <c r="B179" s="4"/>
      <c r="I179" s="3"/>
      <c r="J179" s="1"/>
      <c r="K179" s="5"/>
      <c r="M179" s="4"/>
    </row>
    <row r="180" spans="2:13" x14ac:dyDescent="0.3">
      <c r="B180" s="4"/>
      <c r="I180" s="3"/>
      <c r="J180" s="1"/>
      <c r="K180" s="5"/>
      <c r="M180" s="4"/>
    </row>
    <row r="181" spans="2:13" x14ac:dyDescent="0.3">
      <c r="B181" s="4"/>
      <c r="I181" s="3"/>
      <c r="J181" s="1"/>
      <c r="K181" s="5"/>
      <c r="M181" s="4"/>
    </row>
    <row r="182" spans="2:13" x14ac:dyDescent="0.3">
      <c r="B182" s="4"/>
      <c r="I182" s="3"/>
      <c r="J182" s="1"/>
      <c r="K182" s="5"/>
      <c r="M182" s="4"/>
    </row>
    <row r="183" spans="2:13" x14ac:dyDescent="0.3">
      <c r="B183" s="4"/>
      <c r="I183" s="3"/>
      <c r="J183" s="1"/>
      <c r="K183" s="5"/>
      <c r="M183" s="4"/>
    </row>
    <row r="184" spans="2:13" x14ac:dyDescent="0.3">
      <c r="B184" s="4"/>
      <c r="I184" s="3"/>
      <c r="J184" s="1"/>
      <c r="K184" s="5"/>
      <c r="M184" s="4"/>
    </row>
    <row r="185" spans="2:13" x14ac:dyDescent="0.3">
      <c r="B185" s="4"/>
      <c r="I185" s="3"/>
      <c r="J185" s="1"/>
      <c r="K185" s="5"/>
      <c r="M185" s="4"/>
    </row>
    <row r="186" spans="2:13" x14ac:dyDescent="0.3">
      <c r="B186" s="4"/>
      <c r="I186" s="3"/>
      <c r="J186" s="1"/>
      <c r="K186" s="5"/>
      <c r="M186" s="4"/>
    </row>
    <row r="187" spans="2:13" x14ac:dyDescent="0.3">
      <c r="B187" s="4"/>
      <c r="I187" s="3"/>
      <c r="J187" s="1"/>
      <c r="K187" s="5"/>
      <c r="M187" s="4"/>
    </row>
    <row r="188" spans="2:13" x14ac:dyDescent="0.3">
      <c r="B188" s="4"/>
      <c r="I188" s="3"/>
      <c r="J188" s="1"/>
      <c r="K188" s="5"/>
      <c r="M188" s="4"/>
    </row>
    <row r="189" spans="2:13" x14ac:dyDescent="0.3">
      <c r="B189" s="4"/>
      <c r="I189" s="3"/>
      <c r="J189" s="1"/>
      <c r="K189" s="5"/>
      <c r="M189" s="4"/>
    </row>
    <row r="190" spans="2:13" x14ac:dyDescent="0.3">
      <c r="B190" s="4"/>
      <c r="I190" s="3"/>
      <c r="J190" s="1"/>
      <c r="K190" s="5"/>
      <c r="M190" s="4"/>
    </row>
    <row r="191" spans="2:13" x14ac:dyDescent="0.3">
      <c r="B191" s="4"/>
      <c r="I191" s="3"/>
      <c r="J191" s="1"/>
      <c r="K191" s="5"/>
      <c r="M191" s="4"/>
    </row>
    <row r="192" spans="2:13" x14ac:dyDescent="0.3">
      <c r="B192" s="4"/>
      <c r="I192" s="3"/>
      <c r="J192" s="1"/>
      <c r="K192" s="5"/>
      <c r="M192" s="4"/>
    </row>
    <row r="193" spans="2:13" x14ac:dyDescent="0.3">
      <c r="B193" s="4"/>
      <c r="I193" s="3"/>
      <c r="J193" s="1"/>
      <c r="K193" s="5"/>
      <c r="M193" s="4"/>
    </row>
    <row r="194" spans="2:13" x14ac:dyDescent="0.3">
      <c r="B194" s="4"/>
      <c r="I194" s="3"/>
      <c r="J194" s="1"/>
      <c r="K194" s="5"/>
      <c r="M194" s="4"/>
    </row>
    <row r="195" spans="2:13" x14ac:dyDescent="0.3">
      <c r="B195" s="4"/>
      <c r="I195" s="3"/>
      <c r="J195" s="1"/>
      <c r="K195" s="5"/>
      <c r="M195" s="4"/>
    </row>
    <row r="196" spans="2:13" x14ac:dyDescent="0.3">
      <c r="B196" s="4"/>
      <c r="I196" s="3"/>
      <c r="J196" s="1"/>
      <c r="K196" s="5"/>
      <c r="M196" s="4"/>
    </row>
    <row r="197" spans="2:13" x14ac:dyDescent="0.3">
      <c r="B197" s="4"/>
      <c r="I197" s="3"/>
      <c r="J197" s="1"/>
      <c r="K197" s="5"/>
      <c r="M197" s="4"/>
    </row>
    <row r="198" spans="2:13" x14ac:dyDescent="0.3">
      <c r="B198" s="4"/>
      <c r="I198" s="3"/>
      <c r="J198" s="1"/>
      <c r="K198" s="5"/>
      <c r="M198" s="4"/>
    </row>
    <row r="199" spans="2:13" x14ac:dyDescent="0.3">
      <c r="B199" s="4"/>
      <c r="I199" s="3"/>
      <c r="J199" s="1"/>
      <c r="K199" s="5"/>
      <c r="M199" s="4"/>
    </row>
    <row r="200" spans="2:13" x14ac:dyDescent="0.3">
      <c r="B200" s="4"/>
      <c r="I200" s="3"/>
      <c r="J200" s="1"/>
      <c r="K200" s="5"/>
      <c r="M200" s="4"/>
    </row>
    <row r="201" spans="2:13" x14ac:dyDescent="0.3">
      <c r="B201" s="4"/>
      <c r="I201" s="3"/>
      <c r="J201" s="1"/>
      <c r="K201" s="5"/>
      <c r="M201" s="4"/>
    </row>
    <row r="202" spans="2:13" x14ac:dyDescent="0.3">
      <c r="B202" s="4"/>
      <c r="I202" s="3"/>
      <c r="J202" s="1"/>
      <c r="K202" s="5"/>
      <c r="M202" s="4"/>
    </row>
    <row r="203" spans="2:13" x14ac:dyDescent="0.3">
      <c r="B203" s="4"/>
      <c r="I203" s="3"/>
      <c r="J203" s="1"/>
      <c r="K203" s="5"/>
      <c r="M203" s="4"/>
    </row>
    <row r="204" spans="2:13" x14ac:dyDescent="0.3">
      <c r="B204" s="4"/>
      <c r="I204" s="3"/>
      <c r="J204" s="1"/>
      <c r="K204" s="5"/>
      <c r="M204" s="4"/>
    </row>
    <row r="205" spans="2:13" x14ac:dyDescent="0.3">
      <c r="B205" s="4"/>
      <c r="I205" s="3"/>
      <c r="J205" s="1"/>
      <c r="K205" s="5"/>
      <c r="M205" s="4"/>
    </row>
    <row r="206" spans="2:13" x14ac:dyDescent="0.3">
      <c r="B206" s="4"/>
      <c r="I206" s="3"/>
      <c r="J206" s="1"/>
      <c r="K206" s="5"/>
      <c r="M206" s="4"/>
    </row>
    <row r="207" spans="2:13" x14ac:dyDescent="0.3">
      <c r="B207" s="4"/>
      <c r="I207" s="3"/>
      <c r="J207" s="1"/>
      <c r="K207" s="5"/>
      <c r="M207" s="4"/>
    </row>
    <row r="208" spans="2:13" x14ac:dyDescent="0.3">
      <c r="B208" s="4"/>
      <c r="I208" s="3"/>
      <c r="J208" s="1"/>
      <c r="K208" s="5"/>
      <c r="M208" s="4"/>
    </row>
    <row r="209" spans="2:22" x14ac:dyDescent="0.3">
      <c r="B209" s="4"/>
      <c r="I209" s="3"/>
      <c r="J209" s="1"/>
      <c r="K209" s="5"/>
      <c r="M209" s="4"/>
    </row>
    <row r="210" spans="2:22" x14ac:dyDescent="0.3">
      <c r="B210" s="4"/>
      <c r="I210" s="3"/>
      <c r="J210" s="1"/>
      <c r="K210" s="5"/>
      <c r="M210" s="4"/>
    </row>
    <row r="211" spans="2:22" x14ac:dyDescent="0.3">
      <c r="B211" s="4"/>
      <c r="I211" s="3"/>
      <c r="J211" s="1"/>
      <c r="K211" s="5"/>
      <c r="M211" s="4"/>
    </row>
    <row r="212" spans="2:22" x14ac:dyDescent="0.3">
      <c r="B212" s="4"/>
      <c r="I212" s="3"/>
      <c r="J212" s="1"/>
      <c r="K212" s="5"/>
      <c r="M212" s="4"/>
    </row>
    <row r="213" spans="2:22" x14ac:dyDescent="0.3">
      <c r="B213" s="4"/>
      <c r="I213" s="3"/>
      <c r="J213" s="1"/>
      <c r="K213" s="5"/>
      <c r="M213" s="4"/>
    </row>
    <row r="214" spans="2:22" x14ac:dyDescent="0.3">
      <c r="B214" s="4"/>
      <c r="I214" s="3"/>
      <c r="J214" s="1"/>
      <c r="K214" s="5"/>
      <c r="M214" s="4"/>
    </row>
    <row r="215" spans="2:22" x14ac:dyDescent="0.3">
      <c r="B215" s="4"/>
      <c r="I215" s="3"/>
      <c r="J215" s="1"/>
      <c r="K215" s="5"/>
      <c r="M215" s="4"/>
      <c r="U215" s="1"/>
      <c r="V215" s="1"/>
    </row>
    <row r="216" spans="2:22" x14ac:dyDescent="0.3">
      <c r="B216" s="4"/>
      <c r="I216" s="3"/>
      <c r="J216" s="1"/>
      <c r="K216" s="5"/>
      <c r="M216" s="4"/>
      <c r="U216" s="1"/>
      <c r="V216" s="1"/>
    </row>
    <row r="217" spans="2:22" x14ac:dyDescent="0.3">
      <c r="B217" s="4"/>
      <c r="I217" s="3"/>
      <c r="J217" s="1"/>
      <c r="K217" s="5"/>
      <c r="M217" s="4"/>
    </row>
    <row r="218" spans="2:22" x14ac:dyDescent="0.3">
      <c r="B218" s="4"/>
      <c r="I218" s="3"/>
      <c r="J218" s="1"/>
      <c r="K218" s="5"/>
      <c r="M218" s="4"/>
    </row>
    <row r="219" spans="2:22" x14ac:dyDescent="0.3">
      <c r="B219" s="4"/>
      <c r="I219" s="3"/>
      <c r="J219" s="1"/>
      <c r="K219" s="5"/>
      <c r="M219" s="4"/>
    </row>
    <row r="220" spans="2:22" x14ac:dyDescent="0.3">
      <c r="B220" s="4"/>
      <c r="I220" s="3"/>
      <c r="J220" s="1"/>
      <c r="K220" s="5"/>
      <c r="M220" s="4"/>
    </row>
    <row r="221" spans="2:22" x14ac:dyDescent="0.3">
      <c r="B221" s="4"/>
      <c r="I221" s="3"/>
      <c r="J221" s="1"/>
      <c r="K221" s="5"/>
      <c r="M221" s="4"/>
    </row>
    <row r="222" spans="2:22" x14ac:dyDescent="0.3">
      <c r="B222" s="4"/>
      <c r="I222" s="3"/>
      <c r="J222" s="1"/>
      <c r="K222" s="5"/>
      <c r="M222" s="4"/>
    </row>
    <row r="223" spans="2:22" x14ac:dyDescent="0.3">
      <c r="B223" s="4"/>
      <c r="I223" s="3"/>
      <c r="J223" s="1"/>
      <c r="K223" s="5"/>
      <c r="M223" s="4"/>
    </row>
    <row r="224" spans="2:22" x14ac:dyDescent="0.3">
      <c r="B224" s="4"/>
      <c r="I224" s="3"/>
      <c r="J224" s="1"/>
      <c r="K224" s="5"/>
      <c r="M224" s="4"/>
    </row>
    <row r="225" spans="2:13" x14ac:dyDescent="0.3">
      <c r="B225" s="4"/>
      <c r="I225" s="3"/>
      <c r="J225" s="1"/>
      <c r="K225" s="5"/>
      <c r="M225" s="4"/>
    </row>
    <row r="226" spans="2:13" x14ac:dyDescent="0.3">
      <c r="B226" s="4"/>
      <c r="I226" s="3"/>
      <c r="J226" s="1"/>
      <c r="K226" s="5"/>
      <c r="M226" s="4"/>
    </row>
    <row r="227" spans="2:13" x14ac:dyDescent="0.3">
      <c r="B227" s="4"/>
      <c r="I227" s="3"/>
      <c r="J227" s="1"/>
      <c r="K227" s="5"/>
      <c r="M227" s="4"/>
    </row>
    <row r="228" spans="2:13" x14ac:dyDescent="0.3">
      <c r="B228" s="4"/>
      <c r="I228" s="3"/>
      <c r="J228" s="1"/>
      <c r="K228" s="5"/>
      <c r="M228" s="4"/>
    </row>
    <row r="229" spans="2:13" x14ac:dyDescent="0.3">
      <c r="B229" s="4"/>
      <c r="I229" s="3"/>
      <c r="J229" s="1"/>
      <c r="K229" s="5"/>
      <c r="M229" s="4"/>
    </row>
    <row r="230" spans="2:13" x14ac:dyDescent="0.3">
      <c r="B230" s="4"/>
      <c r="I230" s="3"/>
      <c r="J230" s="1"/>
      <c r="K230" s="5"/>
      <c r="M230" s="4"/>
    </row>
    <row r="231" spans="2:13" x14ac:dyDescent="0.3">
      <c r="B231" s="4"/>
      <c r="I231" s="3"/>
      <c r="J231" s="1"/>
      <c r="K231" s="5"/>
      <c r="M231" s="4"/>
    </row>
    <row r="232" spans="2:13" x14ac:dyDescent="0.3">
      <c r="B232" s="4"/>
      <c r="I232" s="3"/>
      <c r="J232" s="1"/>
      <c r="K232" s="5"/>
      <c r="M232" s="8"/>
    </row>
    <row r="233" spans="2:13" x14ac:dyDescent="0.3">
      <c r="B233" s="4"/>
      <c r="I233" s="3"/>
      <c r="J233" s="1"/>
      <c r="K233" s="5"/>
      <c r="M233" s="8"/>
    </row>
    <row r="234" spans="2:13" x14ac:dyDescent="0.3">
      <c r="B234" s="4"/>
      <c r="I234" s="3"/>
      <c r="J234" s="1"/>
      <c r="K234" s="5"/>
      <c r="M234" s="8"/>
    </row>
    <row r="235" spans="2:13" x14ac:dyDescent="0.3">
      <c r="B235" s="4"/>
      <c r="I235" s="3"/>
      <c r="J235" s="1"/>
      <c r="K235" s="5"/>
      <c r="M235" s="4"/>
    </row>
    <row r="236" spans="2:13" x14ac:dyDescent="0.3">
      <c r="B236" s="4"/>
      <c r="I236" s="3"/>
      <c r="J236" s="1"/>
      <c r="K236" s="5"/>
      <c r="M236" s="4"/>
    </row>
    <row r="237" spans="2:13" x14ac:dyDescent="0.3">
      <c r="B237" s="4"/>
      <c r="I237" s="3"/>
      <c r="J237" s="1"/>
      <c r="K237" s="5"/>
      <c r="M237" s="4"/>
    </row>
    <row r="238" spans="2:13" x14ac:dyDescent="0.3">
      <c r="B238" s="4"/>
      <c r="I238" s="3"/>
      <c r="J238" s="1"/>
      <c r="K238" s="5"/>
      <c r="M238" s="4"/>
    </row>
    <row r="239" spans="2:13" x14ac:dyDescent="0.3">
      <c r="B239" s="4"/>
      <c r="I239" s="3"/>
      <c r="J239" s="1"/>
      <c r="K239" s="5"/>
      <c r="M239" s="4"/>
    </row>
    <row r="240" spans="2:13" x14ac:dyDescent="0.3">
      <c r="B240" s="4"/>
      <c r="I240" s="3"/>
      <c r="J240" s="1"/>
      <c r="K240" s="5"/>
      <c r="M240" s="4"/>
    </row>
    <row r="241" spans="2:13" x14ac:dyDescent="0.3">
      <c r="B241" s="4"/>
      <c r="I241" s="3"/>
      <c r="J241" s="1"/>
      <c r="K241" s="5"/>
      <c r="M241" s="4"/>
    </row>
    <row r="242" spans="2:13" x14ac:dyDescent="0.3">
      <c r="B242" s="4"/>
      <c r="I242" s="3"/>
      <c r="J242" s="1"/>
      <c r="K242" s="5"/>
      <c r="M242" s="4"/>
    </row>
    <row r="243" spans="2:13" x14ac:dyDescent="0.3">
      <c r="B243" s="4"/>
      <c r="I243" s="3"/>
      <c r="J243" s="1"/>
      <c r="K243" s="5"/>
      <c r="M243" s="4"/>
    </row>
    <row r="244" spans="2:13" x14ac:dyDescent="0.3">
      <c r="B244" s="4"/>
      <c r="I244" s="3"/>
      <c r="J244" s="1"/>
      <c r="K244" s="5"/>
      <c r="M244" s="4"/>
    </row>
    <row r="245" spans="2:13" x14ac:dyDescent="0.3">
      <c r="B245" s="4"/>
      <c r="I245" s="3"/>
      <c r="J245" s="1"/>
      <c r="K245" s="5"/>
      <c r="M245" s="4"/>
    </row>
    <row r="246" spans="2:13" x14ac:dyDescent="0.3">
      <c r="B246" s="4"/>
      <c r="I246" s="3"/>
      <c r="J246" s="1"/>
      <c r="K246" s="5"/>
      <c r="M246" s="4"/>
    </row>
    <row r="247" spans="2:13" x14ac:dyDescent="0.3">
      <c r="B247" s="4"/>
      <c r="I247" s="3"/>
      <c r="J247" s="1"/>
      <c r="K247" s="5"/>
      <c r="M247" s="4"/>
    </row>
    <row r="248" spans="2:13" x14ac:dyDescent="0.3">
      <c r="B248" s="4"/>
      <c r="I248" s="3"/>
      <c r="J248" s="1"/>
      <c r="K248" s="5"/>
      <c r="M248" s="4"/>
    </row>
    <row r="249" spans="2:13" x14ac:dyDescent="0.3">
      <c r="B249" s="4"/>
      <c r="I249" s="3"/>
      <c r="J249" s="1"/>
      <c r="K249" s="5"/>
      <c r="M249" s="4"/>
    </row>
    <row r="250" spans="2:13" x14ac:dyDescent="0.3">
      <c r="B250" s="4"/>
      <c r="I250" s="3"/>
      <c r="J250" s="1"/>
      <c r="K250" s="5"/>
      <c r="M250" s="4"/>
    </row>
    <row r="251" spans="2:13" x14ac:dyDescent="0.3">
      <c r="B251" s="4"/>
      <c r="I251" s="3"/>
      <c r="J251" s="1"/>
      <c r="K251" s="5"/>
      <c r="M251" s="4"/>
    </row>
    <row r="252" spans="2:13" x14ac:dyDescent="0.3">
      <c r="B252" s="4"/>
      <c r="I252" s="3"/>
      <c r="J252" s="1"/>
      <c r="K252" s="5"/>
      <c r="M252" s="4"/>
    </row>
    <row r="253" spans="2:13" x14ac:dyDescent="0.3">
      <c r="B253" s="4"/>
      <c r="I253" s="3"/>
      <c r="J253" s="1"/>
      <c r="K253" s="5"/>
      <c r="M253" s="4"/>
    </row>
    <row r="254" spans="2:13" x14ac:dyDescent="0.3">
      <c r="B254" s="4"/>
      <c r="I254" s="3"/>
      <c r="J254" s="1"/>
      <c r="K254" s="5"/>
      <c r="M254" s="4"/>
    </row>
    <row r="255" spans="2:13" x14ac:dyDescent="0.3">
      <c r="B255" s="4"/>
      <c r="I255" s="3"/>
      <c r="J255" s="1"/>
      <c r="K255" s="5"/>
      <c r="M255" s="4"/>
    </row>
    <row r="256" spans="2:13" x14ac:dyDescent="0.3">
      <c r="B256" s="4"/>
      <c r="I256" s="3"/>
      <c r="J256" s="1"/>
      <c r="K256" s="5"/>
      <c r="M256" s="4"/>
    </row>
    <row r="257" spans="2:13" x14ac:dyDescent="0.3">
      <c r="B257" s="4"/>
      <c r="I257" s="3"/>
      <c r="J257" s="1"/>
      <c r="K257" s="5"/>
      <c r="M257" s="4"/>
    </row>
    <row r="258" spans="2:13" x14ac:dyDescent="0.3">
      <c r="B258" s="4"/>
      <c r="I258" s="3"/>
      <c r="J258" s="1"/>
      <c r="K258" s="5"/>
      <c r="M258" s="4"/>
    </row>
    <row r="259" spans="2:13" x14ac:dyDescent="0.3">
      <c r="B259" s="4"/>
      <c r="I259" s="3"/>
      <c r="J259" s="1"/>
      <c r="K259" s="5"/>
      <c r="M259" s="4"/>
    </row>
    <row r="260" spans="2:13" x14ac:dyDescent="0.3">
      <c r="B260" s="4"/>
      <c r="I260" s="3"/>
      <c r="J260" s="1"/>
      <c r="K260" s="5"/>
      <c r="M260" s="4"/>
    </row>
    <row r="261" spans="2:13" x14ac:dyDescent="0.3">
      <c r="B261" s="4"/>
      <c r="I261" s="3"/>
      <c r="J261" s="1"/>
      <c r="K261" s="5"/>
      <c r="M261" s="4"/>
    </row>
    <row r="262" spans="2:13" x14ac:dyDescent="0.3">
      <c r="B262" s="4"/>
      <c r="I262" s="3"/>
      <c r="J262" s="1"/>
      <c r="K262" s="5"/>
      <c r="M262" s="4"/>
    </row>
    <row r="263" spans="2:13" x14ac:dyDescent="0.3">
      <c r="B263" s="4"/>
      <c r="I263" s="3"/>
      <c r="J263" s="1"/>
      <c r="K263" s="5"/>
      <c r="M263" s="4"/>
    </row>
    <row r="264" spans="2:13" x14ac:dyDescent="0.3">
      <c r="B264" s="4"/>
      <c r="I264" s="3"/>
      <c r="J264" s="1"/>
      <c r="K264" s="5"/>
      <c r="M264" s="4"/>
    </row>
    <row r="265" spans="2:13" x14ac:dyDescent="0.3">
      <c r="B265" s="4"/>
      <c r="I265" s="3"/>
      <c r="J265" s="1"/>
      <c r="K265" s="5"/>
      <c r="M265" s="4"/>
    </row>
    <row r="266" spans="2:13" x14ac:dyDescent="0.3">
      <c r="B266" s="4"/>
      <c r="I266" s="3"/>
      <c r="J266" s="1"/>
      <c r="K266" s="5"/>
      <c r="M266" s="4"/>
    </row>
    <row r="267" spans="2:13" x14ac:dyDescent="0.3">
      <c r="B267" s="4"/>
      <c r="I267" s="3"/>
      <c r="J267" s="1"/>
      <c r="K267" s="5"/>
      <c r="M267" s="4"/>
    </row>
    <row r="268" spans="2:13" x14ac:dyDescent="0.3">
      <c r="B268" s="4"/>
      <c r="I268" s="3"/>
      <c r="J268" s="1"/>
      <c r="K268" s="5"/>
      <c r="M268" s="4"/>
    </row>
    <row r="269" spans="2:13" x14ac:dyDescent="0.3">
      <c r="B269" s="4"/>
      <c r="I269" s="3"/>
      <c r="J269" s="1"/>
      <c r="K269" s="5"/>
      <c r="M269" s="4"/>
    </row>
    <row r="270" spans="2:13" x14ac:dyDescent="0.3">
      <c r="B270" s="4"/>
      <c r="I270" s="3"/>
      <c r="J270" s="1"/>
      <c r="K270" s="5"/>
      <c r="M270" s="4"/>
    </row>
    <row r="271" spans="2:13" x14ac:dyDescent="0.3">
      <c r="B271" s="4"/>
      <c r="I271" s="3"/>
      <c r="J271" s="1"/>
      <c r="K271" s="5"/>
      <c r="M271" s="4"/>
    </row>
    <row r="272" spans="2:13" x14ac:dyDescent="0.3">
      <c r="B272" s="4"/>
      <c r="I272" s="3"/>
      <c r="J272" s="1"/>
      <c r="K272" s="5"/>
      <c r="M272" s="4"/>
    </row>
    <row r="273" spans="2:13" x14ac:dyDescent="0.3">
      <c r="B273" s="4"/>
      <c r="I273" s="3"/>
      <c r="J273" s="1"/>
      <c r="K273" s="5"/>
      <c r="M273" s="4"/>
    </row>
    <row r="274" spans="2:13" x14ac:dyDescent="0.3">
      <c r="B274" s="4"/>
      <c r="I274" s="3"/>
      <c r="J274" s="1"/>
      <c r="K274" s="5"/>
      <c r="M274" s="4"/>
    </row>
    <row r="275" spans="2:13" x14ac:dyDescent="0.3">
      <c r="B275" s="4"/>
      <c r="I275" s="3"/>
      <c r="J275" s="1"/>
      <c r="K275" s="5"/>
      <c r="M275" s="4"/>
    </row>
    <row r="276" spans="2:13" x14ac:dyDescent="0.3">
      <c r="B276" s="4"/>
      <c r="I276" s="3"/>
      <c r="J276" s="1"/>
      <c r="M276" s="4"/>
    </row>
    <row r="277" spans="2:13" x14ac:dyDescent="0.3">
      <c r="B277" s="4"/>
      <c r="I277" s="3"/>
      <c r="J277" s="1"/>
      <c r="M277" s="4"/>
    </row>
    <row r="278" spans="2:13" x14ac:dyDescent="0.3">
      <c r="B278" s="4"/>
      <c r="I278" s="3"/>
      <c r="J278" s="1"/>
      <c r="M278" s="4"/>
    </row>
    <row r="279" spans="2:13" x14ac:dyDescent="0.3">
      <c r="B279" s="4"/>
      <c r="I279" s="3"/>
      <c r="J279" s="1"/>
      <c r="M279" s="4"/>
    </row>
    <row r="280" spans="2:13" x14ac:dyDescent="0.3">
      <c r="B280" s="4"/>
      <c r="I280" s="3"/>
      <c r="J280" s="1"/>
    </row>
    <row r="281" spans="2:13" x14ac:dyDescent="0.3">
      <c r="B281" s="4"/>
      <c r="I281" s="3"/>
      <c r="J281" s="1"/>
    </row>
    <row r="282" spans="2:13" x14ac:dyDescent="0.3">
      <c r="B282" s="4"/>
      <c r="I282" s="3"/>
      <c r="J282" s="1"/>
    </row>
    <row r="283" spans="2:13" x14ac:dyDescent="0.3">
      <c r="B283" s="4"/>
      <c r="I283" s="3"/>
      <c r="J283" s="1"/>
    </row>
    <row r="284" spans="2:13" x14ac:dyDescent="0.3">
      <c r="B284" s="4"/>
      <c r="I284" s="3"/>
      <c r="J284" s="1"/>
    </row>
    <row r="285" spans="2:13" x14ac:dyDescent="0.3">
      <c r="B285" s="4"/>
      <c r="I285" s="3"/>
      <c r="J285" s="1"/>
    </row>
    <row r="286" spans="2:13" x14ac:dyDescent="0.3">
      <c r="B286" s="4"/>
      <c r="I286" s="3"/>
      <c r="J286" s="1"/>
    </row>
    <row r="287" spans="2:13" x14ac:dyDescent="0.3">
      <c r="B287" s="4"/>
      <c r="I287" s="3"/>
      <c r="J287" s="1"/>
    </row>
    <row r="288" spans="2:13" x14ac:dyDescent="0.3">
      <c r="B288" s="4"/>
      <c r="I288" s="3"/>
      <c r="J288" s="1"/>
    </row>
    <row r="289" spans="1:10" x14ac:dyDescent="0.3">
      <c r="B289" s="4"/>
      <c r="I289" s="3"/>
      <c r="J289" s="1"/>
    </row>
    <row r="290" spans="1:10" x14ac:dyDescent="0.3">
      <c r="B290" s="4"/>
      <c r="I290" s="3"/>
      <c r="J290" s="1"/>
    </row>
    <row r="291" spans="1:10" x14ac:dyDescent="0.3">
      <c r="B291" s="4"/>
      <c r="I291" s="3"/>
      <c r="J291" s="1"/>
    </row>
    <row r="292" spans="1:10" x14ac:dyDescent="0.3">
      <c r="B292" s="4"/>
      <c r="I292" s="3"/>
      <c r="J292" s="1"/>
    </row>
    <row r="293" spans="1:10" x14ac:dyDescent="0.3">
      <c r="B293" s="4"/>
      <c r="I293" s="3"/>
      <c r="J293" s="1"/>
    </row>
    <row r="294" spans="1:10" x14ac:dyDescent="0.3">
      <c r="B294" s="4"/>
      <c r="I294" s="3"/>
      <c r="J294" s="1"/>
    </row>
    <row r="295" spans="1:10" x14ac:dyDescent="0.3">
      <c r="B295" s="4"/>
      <c r="I295" s="3"/>
      <c r="J295" s="1"/>
    </row>
    <row r="296" spans="1:10" x14ac:dyDescent="0.3">
      <c r="B296" s="4"/>
      <c r="I296" s="3"/>
      <c r="J296" s="1"/>
    </row>
    <row r="297" spans="1:10" x14ac:dyDescent="0.3">
      <c r="B297" s="4"/>
      <c r="I297" s="3"/>
      <c r="J297" s="1"/>
    </row>
    <row r="298" spans="1:10" x14ac:dyDescent="0.3">
      <c r="A298" t="s">
        <v>0</v>
      </c>
      <c r="B298" s="4"/>
      <c r="I298" s="3"/>
      <c r="J298" s="1"/>
    </row>
    <row r="299" spans="1:10" x14ac:dyDescent="0.3">
      <c r="B299" s="4"/>
      <c r="I299" s="3"/>
      <c r="J299" s="1"/>
    </row>
    <row r="300" spans="1:10" x14ac:dyDescent="0.3">
      <c r="B300" s="4"/>
      <c r="I300" s="3"/>
      <c r="J300" s="1"/>
    </row>
    <row r="301" spans="1:10" x14ac:dyDescent="0.3">
      <c r="B301" s="4"/>
      <c r="I301" s="3"/>
      <c r="J301" s="1"/>
    </row>
    <row r="302" spans="1:10" x14ac:dyDescent="0.3">
      <c r="B302" s="4"/>
      <c r="I302" s="3"/>
      <c r="J302" s="1"/>
    </row>
    <row r="303" spans="1:10" x14ac:dyDescent="0.3">
      <c r="B303" s="4"/>
      <c r="I303" s="3"/>
      <c r="J303" s="1"/>
    </row>
    <row r="304" spans="1:10" x14ac:dyDescent="0.3">
      <c r="B304" s="4"/>
      <c r="I304" s="3"/>
      <c r="J304" s="1"/>
    </row>
    <row r="305" spans="2:10" x14ac:dyDescent="0.3">
      <c r="B305" s="4"/>
      <c r="I305" s="3"/>
      <c r="J305" s="1"/>
    </row>
    <row r="306" spans="2:10" x14ac:dyDescent="0.3">
      <c r="B306" s="4"/>
      <c r="I306" s="3"/>
      <c r="J306" s="1"/>
    </row>
    <row r="307" spans="2:10" x14ac:dyDescent="0.3">
      <c r="B307" s="4"/>
      <c r="I307" s="3"/>
      <c r="J307" s="1"/>
    </row>
    <row r="308" spans="2:10" x14ac:dyDescent="0.3">
      <c r="B308" s="4"/>
      <c r="I308" s="3"/>
      <c r="J308" s="1"/>
    </row>
    <row r="309" spans="2:10" x14ac:dyDescent="0.3">
      <c r="B309" s="4"/>
      <c r="I309" s="3"/>
      <c r="J309" s="1"/>
    </row>
    <row r="310" spans="2:10" x14ac:dyDescent="0.3">
      <c r="B310" s="4"/>
      <c r="I310" s="3"/>
      <c r="J310" s="1"/>
    </row>
    <row r="311" spans="2:10" x14ac:dyDescent="0.3">
      <c r="B311" s="4"/>
      <c r="I311" s="3"/>
      <c r="J311" s="1"/>
    </row>
    <row r="312" spans="2:10" x14ac:dyDescent="0.3">
      <c r="B312" s="4"/>
      <c r="I312" s="3"/>
      <c r="J312" s="1"/>
    </row>
    <row r="313" spans="2:10" x14ac:dyDescent="0.3">
      <c r="B313" s="4"/>
      <c r="I313" s="3"/>
      <c r="J313" s="1"/>
    </row>
    <row r="314" spans="2:10" x14ac:dyDescent="0.3">
      <c r="B314" s="4"/>
      <c r="I314" s="3"/>
      <c r="J314" s="1"/>
    </row>
    <row r="315" spans="2:10" x14ac:dyDescent="0.3">
      <c r="B315" s="4"/>
      <c r="I315" s="3"/>
      <c r="J315" s="1"/>
    </row>
    <row r="316" spans="2:10" x14ac:dyDescent="0.3">
      <c r="B316" s="4"/>
      <c r="I316" s="3"/>
      <c r="J316" s="1"/>
    </row>
    <row r="317" spans="2:10" x14ac:dyDescent="0.3">
      <c r="B317" s="4"/>
      <c r="I317" s="3"/>
      <c r="J317" s="1"/>
    </row>
    <row r="318" spans="2:10" x14ac:dyDescent="0.3">
      <c r="B318" s="4"/>
      <c r="I318" s="3"/>
      <c r="J318" s="1"/>
    </row>
    <row r="319" spans="2:10" x14ac:dyDescent="0.3">
      <c r="B319" s="4"/>
      <c r="I319" s="3"/>
      <c r="J319" s="1"/>
    </row>
    <row r="320" spans="2:10" x14ac:dyDescent="0.3">
      <c r="B320" s="4"/>
      <c r="I320" s="3"/>
      <c r="J320" s="1"/>
    </row>
    <row r="321" spans="2:10" x14ac:dyDescent="0.3">
      <c r="B321" s="4"/>
      <c r="I321" s="3"/>
      <c r="J321" s="1"/>
    </row>
    <row r="322" spans="2:10" x14ac:dyDescent="0.3">
      <c r="B322" s="4"/>
      <c r="I322" s="3"/>
      <c r="J322" s="1"/>
    </row>
    <row r="323" spans="2:10" x14ac:dyDescent="0.3">
      <c r="B323" s="4"/>
      <c r="I323" s="3"/>
      <c r="J323" s="1"/>
    </row>
    <row r="324" spans="2:10" x14ac:dyDescent="0.3">
      <c r="B324" s="4"/>
      <c r="I324" s="3"/>
      <c r="J324" s="1"/>
    </row>
    <row r="325" spans="2:10" x14ac:dyDescent="0.3">
      <c r="B325" s="4"/>
      <c r="I325" s="3"/>
      <c r="J325" s="1"/>
    </row>
    <row r="326" spans="2:10" x14ac:dyDescent="0.3">
      <c r="B326" s="4"/>
      <c r="I326" s="3"/>
      <c r="J326" s="1"/>
    </row>
    <row r="327" spans="2:10" x14ac:dyDescent="0.3">
      <c r="B327" s="4"/>
      <c r="I327" s="3"/>
      <c r="J327" s="1"/>
    </row>
    <row r="328" spans="2:10" x14ac:dyDescent="0.3">
      <c r="B328" s="4"/>
      <c r="I328" s="3"/>
      <c r="J328" s="1"/>
    </row>
    <row r="329" spans="2:10" x14ac:dyDescent="0.3">
      <c r="B329" s="4"/>
      <c r="I329" s="3"/>
      <c r="J329" s="1"/>
    </row>
    <row r="330" spans="2:10" x14ac:dyDescent="0.3">
      <c r="B330" s="4"/>
      <c r="I330" s="3"/>
      <c r="J330" s="1"/>
    </row>
    <row r="331" spans="2:10" x14ac:dyDescent="0.3">
      <c r="B331" s="4"/>
      <c r="I331" s="3"/>
      <c r="J331" s="1"/>
    </row>
    <row r="332" spans="2:10" x14ac:dyDescent="0.3">
      <c r="B332" s="4"/>
      <c r="I332" s="3"/>
      <c r="J332" s="1"/>
    </row>
    <row r="333" spans="2:10" x14ac:dyDescent="0.3">
      <c r="B333" s="4"/>
      <c r="I333" s="3"/>
      <c r="J333" s="1"/>
    </row>
    <row r="334" spans="2:10" x14ac:dyDescent="0.3">
      <c r="B334" s="4"/>
      <c r="I334" s="3"/>
      <c r="J334" s="1"/>
    </row>
    <row r="335" spans="2:10" x14ac:dyDescent="0.3">
      <c r="B335" s="4"/>
      <c r="I335" s="3"/>
      <c r="J335" s="1"/>
    </row>
    <row r="336" spans="2:10" x14ac:dyDescent="0.3">
      <c r="B336" s="4"/>
      <c r="I336" s="3"/>
      <c r="J336" s="1"/>
    </row>
    <row r="337" spans="1:10" x14ac:dyDescent="0.3">
      <c r="B337" s="4"/>
      <c r="I337" s="3"/>
      <c r="J337" s="1"/>
    </row>
    <row r="338" spans="1:10" x14ac:dyDescent="0.3">
      <c r="A338" t="s">
        <v>0</v>
      </c>
      <c r="B338" s="4"/>
      <c r="I338" s="3"/>
      <c r="J338" s="1"/>
    </row>
    <row r="339" spans="1:10" x14ac:dyDescent="0.3">
      <c r="B339" s="4"/>
      <c r="I339" s="3"/>
      <c r="J339" s="1"/>
    </row>
    <row r="340" spans="1:10" x14ac:dyDescent="0.3">
      <c r="B340" s="4"/>
      <c r="I340" s="3"/>
      <c r="J340" s="1"/>
    </row>
    <row r="341" spans="1:10" x14ac:dyDescent="0.3">
      <c r="B341" s="4"/>
      <c r="I341" s="3"/>
      <c r="J341" s="1"/>
    </row>
    <row r="342" spans="1:10" x14ac:dyDescent="0.3">
      <c r="B342" s="4"/>
      <c r="I342" s="3"/>
      <c r="J342" s="1"/>
    </row>
    <row r="343" spans="1:10" x14ac:dyDescent="0.3">
      <c r="B343" s="4"/>
      <c r="I343" s="3"/>
      <c r="J343" s="1"/>
    </row>
    <row r="344" spans="1:10" x14ac:dyDescent="0.3">
      <c r="B344" s="4"/>
      <c r="I344" s="3"/>
      <c r="J344" s="1"/>
    </row>
    <row r="345" spans="1:10" x14ac:dyDescent="0.3">
      <c r="B345" s="4"/>
      <c r="I345" s="3"/>
      <c r="J345" s="1"/>
    </row>
    <row r="346" spans="1:10" x14ac:dyDescent="0.3">
      <c r="B346" s="4"/>
      <c r="I346" s="3"/>
      <c r="J346" s="1"/>
    </row>
    <row r="347" spans="1:10" x14ac:dyDescent="0.3">
      <c r="B347" s="4"/>
      <c r="I347" s="3"/>
      <c r="J347" s="1"/>
    </row>
    <row r="348" spans="1:10" x14ac:dyDescent="0.3">
      <c r="B348" s="4"/>
      <c r="I348" s="3"/>
      <c r="J348" s="1"/>
    </row>
    <row r="349" spans="1:10" x14ac:dyDescent="0.3">
      <c r="B349" s="4"/>
      <c r="I349" s="3"/>
      <c r="J349" s="1"/>
    </row>
    <row r="350" spans="1:10" x14ac:dyDescent="0.3">
      <c r="B350" s="4"/>
      <c r="I350" s="3"/>
      <c r="J350" s="1"/>
    </row>
    <row r="351" spans="1:10" x14ac:dyDescent="0.3">
      <c r="B351" s="4"/>
      <c r="I351" s="3"/>
      <c r="J351" s="1"/>
    </row>
    <row r="352" spans="1:10" x14ac:dyDescent="0.3">
      <c r="B352" s="4"/>
      <c r="I352" s="3"/>
      <c r="J352" s="1"/>
    </row>
    <row r="353" spans="2:10" x14ac:dyDescent="0.3">
      <c r="B353" s="4"/>
      <c r="I353" s="3"/>
      <c r="J353" s="1"/>
    </row>
    <row r="354" spans="2:10" x14ac:dyDescent="0.3">
      <c r="B354" s="4"/>
      <c r="I354" s="3"/>
      <c r="J354" s="1"/>
    </row>
    <row r="355" spans="2:10" x14ac:dyDescent="0.3">
      <c r="B355" s="4"/>
      <c r="I355" s="3"/>
      <c r="J355" s="1"/>
    </row>
    <row r="356" spans="2:10" x14ac:dyDescent="0.3">
      <c r="B356" s="4"/>
      <c r="I356" s="3"/>
      <c r="J356" s="1"/>
    </row>
    <row r="357" spans="2:10" x14ac:dyDescent="0.3">
      <c r="B357" s="4"/>
      <c r="I357" s="3"/>
      <c r="J357" s="1"/>
    </row>
    <row r="358" spans="2:10" x14ac:dyDescent="0.3">
      <c r="B358" s="4"/>
      <c r="I358" s="3"/>
      <c r="J358" s="1"/>
    </row>
    <row r="359" spans="2:10" x14ac:dyDescent="0.3">
      <c r="B359" s="4"/>
      <c r="I359" s="3"/>
      <c r="J359" s="1"/>
    </row>
    <row r="360" spans="2:10" x14ac:dyDescent="0.3">
      <c r="B360" s="4"/>
      <c r="I360" s="3"/>
      <c r="J360" s="1"/>
    </row>
    <row r="361" spans="2:10" x14ac:dyDescent="0.3">
      <c r="B361" s="4"/>
      <c r="I361" s="3"/>
      <c r="J361" s="1"/>
    </row>
    <row r="362" spans="2:10" x14ac:dyDescent="0.3">
      <c r="B362" s="4"/>
      <c r="I362" s="3"/>
      <c r="J362" s="1"/>
    </row>
    <row r="363" spans="2:10" x14ac:dyDescent="0.3">
      <c r="B363" s="4"/>
      <c r="I363" s="3"/>
      <c r="J363" s="1"/>
    </row>
    <row r="364" spans="2:10" x14ac:dyDescent="0.3">
      <c r="B364" s="4"/>
      <c r="I364" s="3"/>
      <c r="J364" s="1"/>
    </row>
    <row r="365" spans="2:10" x14ac:dyDescent="0.3">
      <c r="B365" s="4"/>
      <c r="I365" s="3"/>
      <c r="J365" s="1"/>
    </row>
    <row r="366" spans="2:10" x14ac:dyDescent="0.3">
      <c r="B366" s="4"/>
      <c r="I366" s="3"/>
      <c r="J366" s="1"/>
    </row>
    <row r="367" spans="2:10" x14ac:dyDescent="0.3">
      <c r="B367" s="4"/>
      <c r="I367" s="3"/>
      <c r="J367" s="1"/>
    </row>
    <row r="368" spans="2:10" x14ac:dyDescent="0.3">
      <c r="B368" s="4"/>
      <c r="I368" s="3"/>
      <c r="J368" s="1"/>
    </row>
    <row r="369" spans="2:10" x14ac:dyDescent="0.3">
      <c r="B369" s="4"/>
      <c r="I369" s="3"/>
      <c r="J369" s="1"/>
    </row>
    <row r="370" spans="2:10" x14ac:dyDescent="0.3">
      <c r="B370" s="4"/>
      <c r="I370" s="3"/>
      <c r="J370" s="1"/>
    </row>
    <row r="371" spans="2:10" x14ac:dyDescent="0.3">
      <c r="B371" s="4"/>
      <c r="I371" s="3"/>
      <c r="J371" s="1"/>
    </row>
    <row r="372" spans="2:10" x14ac:dyDescent="0.3">
      <c r="B372" s="4"/>
      <c r="I372" s="3"/>
      <c r="J372" s="1"/>
    </row>
    <row r="373" spans="2:10" x14ac:dyDescent="0.3">
      <c r="B373" s="4"/>
      <c r="I373" s="3"/>
      <c r="J373" s="1"/>
    </row>
    <row r="374" spans="2:10" x14ac:dyDescent="0.3">
      <c r="B374" s="4"/>
      <c r="I374" s="3"/>
      <c r="J374" s="1"/>
    </row>
    <row r="375" spans="2:10" x14ac:dyDescent="0.3">
      <c r="B375" s="4"/>
      <c r="I375" s="3"/>
      <c r="J375" s="1"/>
    </row>
    <row r="376" spans="2:10" x14ac:dyDescent="0.3">
      <c r="B376" s="4"/>
      <c r="I376" s="3"/>
      <c r="J376" s="1"/>
    </row>
    <row r="377" spans="2:10" x14ac:dyDescent="0.3">
      <c r="B377" s="4"/>
      <c r="I377" s="3"/>
      <c r="J377" s="1"/>
    </row>
    <row r="378" spans="2:10" x14ac:dyDescent="0.3">
      <c r="B378" s="4"/>
      <c r="I378" s="3"/>
      <c r="J378" s="1"/>
    </row>
    <row r="379" spans="2:10" x14ac:dyDescent="0.3">
      <c r="B379" s="4"/>
      <c r="I379" s="3"/>
      <c r="J379" s="1"/>
    </row>
    <row r="380" spans="2:10" x14ac:dyDescent="0.3">
      <c r="B380" s="4"/>
      <c r="I380" s="3"/>
      <c r="J380" s="1"/>
    </row>
    <row r="381" spans="2:10" x14ac:dyDescent="0.3">
      <c r="B381" s="4"/>
      <c r="I381" s="3"/>
      <c r="J381" s="1"/>
    </row>
    <row r="382" spans="2:10" x14ac:dyDescent="0.3">
      <c r="B382" s="4"/>
      <c r="I382" s="3"/>
      <c r="J382" s="1"/>
    </row>
    <row r="383" spans="2:10" x14ac:dyDescent="0.3">
      <c r="B383" s="4"/>
      <c r="I383" s="3"/>
      <c r="J383" s="1"/>
    </row>
    <row r="384" spans="2:10" x14ac:dyDescent="0.3">
      <c r="B384" s="4"/>
      <c r="I384" s="3"/>
      <c r="J384" s="1"/>
    </row>
    <row r="385" spans="2:10" x14ac:dyDescent="0.3">
      <c r="B385" s="4"/>
      <c r="I385" s="3"/>
      <c r="J385" s="1"/>
    </row>
    <row r="386" spans="2:10" x14ac:dyDescent="0.3">
      <c r="B386" s="4"/>
      <c r="I386" s="3"/>
      <c r="J386" s="1"/>
    </row>
    <row r="387" spans="2:10" x14ac:dyDescent="0.3">
      <c r="B387" s="4"/>
      <c r="I387" s="3"/>
      <c r="J387" s="1"/>
    </row>
    <row r="388" spans="2:10" x14ac:dyDescent="0.3">
      <c r="B388" s="4"/>
      <c r="I388" s="3"/>
      <c r="J388" s="1"/>
    </row>
    <row r="389" spans="2:10" x14ac:dyDescent="0.3">
      <c r="B389" s="4"/>
      <c r="I389" s="3"/>
      <c r="J389" s="1"/>
    </row>
    <row r="390" spans="2:10" x14ac:dyDescent="0.3">
      <c r="B390" s="4"/>
      <c r="I390" s="3"/>
      <c r="J390" s="1"/>
    </row>
    <row r="391" spans="2:10" x14ac:dyDescent="0.3">
      <c r="B391" s="4"/>
      <c r="I391" s="3"/>
      <c r="J391" s="1"/>
    </row>
    <row r="392" spans="2:10" x14ac:dyDescent="0.3">
      <c r="B392" s="4"/>
      <c r="I392" s="3"/>
      <c r="J392" s="1"/>
    </row>
    <row r="393" spans="2:10" x14ac:dyDescent="0.3">
      <c r="B393" s="4"/>
      <c r="I393" s="3"/>
      <c r="J393" s="1"/>
    </row>
    <row r="394" spans="2:10" x14ac:dyDescent="0.3">
      <c r="B394" s="4"/>
      <c r="I394" s="3"/>
      <c r="J394" s="1"/>
    </row>
    <row r="395" spans="2:10" x14ac:dyDescent="0.3">
      <c r="B395" s="4"/>
      <c r="I395" s="3"/>
      <c r="J395" s="1"/>
    </row>
    <row r="396" spans="2:10" x14ac:dyDescent="0.3">
      <c r="B396" s="4"/>
      <c r="I396" s="3"/>
      <c r="J396" s="1"/>
    </row>
    <row r="397" spans="2:10" x14ac:dyDescent="0.3">
      <c r="B397" s="4"/>
      <c r="I397" s="3"/>
      <c r="J397" s="1"/>
    </row>
    <row r="398" spans="2:10" x14ac:dyDescent="0.3">
      <c r="B398" s="4"/>
      <c r="I398" s="3"/>
      <c r="J398" s="1"/>
    </row>
    <row r="399" spans="2:10" x14ac:dyDescent="0.3">
      <c r="B399" s="4"/>
      <c r="I399" s="3"/>
      <c r="J399" s="1"/>
    </row>
    <row r="400" spans="2:10" x14ac:dyDescent="0.3">
      <c r="B400" s="4"/>
      <c r="I400" s="3"/>
      <c r="J400" s="1"/>
    </row>
    <row r="401" spans="2:10" x14ac:dyDescent="0.3">
      <c r="B401" s="4"/>
      <c r="I401" s="3"/>
      <c r="J401" s="1"/>
    </row>
    <row r="402" spans="2:10" x14ac:dyDescent="0.3">
      <c r="B402" s="4"/>
      <c r="I402" s="3"/>
      <c r="J402" s="1"/>
    </row>
    <row r="403" spans="2:10" x14ac:dyDescent="0.3">
      <c r="B403" s="4"/>
      <c r="I403" s="3"/>
      <c r="J403" s="1"/>
    </row>
    <row r="404" spans="2:10" x14ac:dyDescent="0.3">
      <c r="B404" s="4"/>
      <c r="I404" s="3"/>
      <c r="J404" s="1"/>
    </row>
    <row r="405" spans="2:10" x14ac:dyDescent="0.3">
      <c r="B405" s="4"/>
      <c r="I405" s="3"/>
      <c r="J405" s="1"/>
    </row>
    <row r="406" spans="2:10" x14ac:dyDescent="0.3">
      <c r="B406" s="4"/>
      <c r="I406" s="3"/>
      <c r="J406" s="1"/>
    </row>
    <row r="407" spans="2:10" x14ac:dyDescent="0.3">
      <c r="B407" s="4"/>
      <c r="I407" s="3"/>
      <c r="J407" s="1"/>
    </row>
    <row r="408" spans="2:10" x14ac:dyDescent="0.3">
      <c r="B408" s="4"/>
      <c r="I408" s="3"/>
      <c r="J408" s="1"/>
    </row>
    <row r="409" spans="2:10" x14ac:dyDescent="0.3">
      <c r="B409" s="4"/>
      <c r="I409" s="3"/>
      <c r="J409" s="1"/>
    </row>
    <row r="410" spans="2:10" x14ac:dyDescent="0.3">
      <c r="B410" s="4"/>
      <c r="I410" s="3"/>
      <c r="J410" s="1"/>
    </row>
    <row r="411" spans="2:10" x14ac:dyDescent="0.3">
      <c r="B411" s="4"/>
      <c r="I411" s="3"/>
      <c r="J411" s="1"/>
    </row>
    <row r="412" spans="2:10" x14ac:dyDescent="0.3">
      <c r="B412" s="4"/>
      <c r="I412" s="3"/>
      <c r="J412" s="1"/>
    </row>
    <row r="413" spans="2:10" x14ac:dyDescent="0.3">
      <c r="B413" s="4"/>
      <c r="I413" s="3"/>
      <c r="J413" s="1"/>
    </row>
    <row r="414" spans="2:10" x14ac:dyDescent="0.3">
      <c r="B414" s="4"/>
      <c r="I414" s="3"/>
      <c r="J414" s="1"/>
    </row>
    <row r="415" spans="2:10" x14ac:dyDescent="0.3">
      <c r="B415" s="4"/>
      <c r="I415" s="3"/>
      <c r="J415" s="1"/>
    </row>
    <row r="416" spans="2:10" x14ac:dyDescent="0.3">
      <c r="B416" s="4"/>
      <c r="I416" s="3"/>
      <c r="J416" s="1"/>
    </row>
    <row r="417" spans="2:15" x14ac:dyDescent="0.3">
      <c r="B417" s="4"/>
      <c r="I417" s="3"/>
      <c r="J417" s="1"/>
    </row>
    <row r="418" spans="2:15" x14ac:dyDescent="0.3">
      <c r="B418" s="4"/>
      <c r="I418" s="3"/>
      <c r="J418" s="1"/>
    </row>
    <row r="419" spans="2:15" x14ac:dyDescent="0.3">
      <c r="B419" s="4"/>
      <c r="I419" s="3"/>
      <c r="J419" s="1"/>
    </row>
    <row r="420" spans="2:15" x14ac:dyDescent="0.3">
      <c r="B420" s="4"/>
      <c r="I420" s="3"/>
      <c r="J420" s="1"/>
    </row>
    <row r="421" spans="2:15" x14ac:dyDescent="0.3">
      <c r="B421" s="4"/>
      <c r="I421" s="3"/>
      <c r="J421" s="1"/>
    </row>
    <row r="422" spans="2:15" x14ac:dyDescent="0.3">
      <c r="B422" s="4"/>
      <c r="I422" s="3"/>
      <c r="J422" s="1"/>
      <c r="M422" s="7"/>
      <c r="N422" s="7"/>
      <c r="O422" s="7"/>
    </row>
    <row r="423" spans="2:15" x14ac:dyDescent="0.3">
      <c r="B423" s="4"/>
      <c r="I423" s="3"/>
      <c r="J423" s="1"/>
      <c r="M423" s="7"/>
      <c r="N423" s="7"/>
      <c r="O423" s="7"/>
    </row>
    <row r="424" spans="2:15" x14ac:dyDescent="0.3">
      <c r="B424" s="4"/>
      <c r="I424" s="3"/>
      <c r="J424" s="1"/>
      <c r="M424" s="7"/>
      <c r="N424" s="7"/>
      <c r="O424" s="7"/>
    </row>
    <row r="425" spans="2:15" x14ac:dyDescent="0.3">
      <c r="B425" s="4"/>
      <c r="I425" s="3"/>
      <c r="J425" s="1"/>
      <c r="M425" s="7"/>
      <c r="N425" s="7"/>
      <c r="O425" s="7"/>
    </row>
    <row r="426" spans="2:15" x14ac:dyDescent="0.3">
      <c r="B426" s="4"/>
      <c r="I426" s="3"/>
      <c r="J426" s="1"/>
      <c r="M426" s="7"/>
      <c r="N426" s="7"/>
      <c r="O426" s="7"/>
    </row>
    <row r="427" spans="2:15" x14ac:dyDescent="0.3">
      <c r="B427" s="4"/>
      <c r="I427" s="3"/>
      <c r="J427" s="1"/>
      <c r="M427" s="7"/>
      <c r="N427" s="7"/>
      <c r="O427" s="7"/>
    </row>
    <row r="428" spans="2:15" x14ac:dyDescent="0.3">
      <c r="B428" s="4"/>
      <c r="I428" s="3"/>
      <c r="J428" s="1"/>
      <c r="M428" s="7"/>
      <c r="N428" s="7"/>
      <c r="O428" s="7"/>
    </row>
    <row r="429" spans="2:15" x14ac:dyDescent="0.3">
      <c r="B429" s="4"/>
      <c r="I429" s="3"/>
      <c r="J429" s="1"/>
      <c r="M429" s="7"/>
      <c r="N429" s="7"/>
      <c r="O429" s="7"/>
    </row>
    <row r="430" spans="2:15" x14ac:dyDescent="0.3">
      <c r="B430" s="4"/>
      <c r="I430" s="3"/>
      <c r="J430" s="1"/>
      <c r="M430" s="7"/>
      <c r="N430" s="7"/>
      <c r="O430" s="7"/>
    </row>
    <row r="431" spans="2:15" x14ac:dyDescent="0.3">
      <c r="B431" s="4"/>
      <c r="I431" s="3"/>
      <c r="J431" s="1"/>
      <c r="M431" s="7"/>
      <c r="N431" s="7"/>
      <c r="O431" s="7"/>
    </row>
    <row r="432" spans="2:15" x14ac:dyDescent="0.3">
      <c r="B432" s="4"/>
      <c r="I432" s="3"/>
      <c r="J432" s="1"/>
      <c r="M432" s="7"/>
      <c r="N432" s="7"/>
      <c r="O432" s="7"/>
    </row>
    <row r="433" spans="2:15" x14ac:dyDescent="0.3">
      <c r="B433" s="4"/>
      <c r="I433" s="3"/>
      <c r="J433" s="1"/>
      <c r="M433" s="7"/>
      <c r="N433" s="7"/>
      <c r="O433" s="7"/>
    </row>
    <row r="434" spans="2:15" x14ac:dyDescent="0.3">
      <c r="B434" s="4"/>
      <c r="I434" s="3"/>
      <c r="J434" s="1"/>
      <c r="M434" s="7"/>
      <c r="N434" s="7"/>
      <c r="O434" s="7"/>
    </row>
    <row r="435" spans="2:15" x14ac:dyDescent="0.3">
      <c r="B435" s="4"/>
      <c r="I435" s="3"/>
      <c r="J435" s="1"/>
      <c r="M435" s="7"/>
      <c r="N435" s="7"/>
      <c r="O435" s="7"/>
    </row>
    <row r="436" spans="2:15" x14ac:dyDescent="0.3">
      <c r="B436" s="4"/>
      <c r="I436" s="3"/>
      <c r="J436" s="1"/>
      <c r="M436" s="7"/>
      <c r="N436" s="7"/>
      <c r="O436" s="7"/>
    </row>
    <row r="437" spans="2:15" x14ac:dyDescent="0.3">
      <c r="B437" s="4"/>
      <c r="I437" s="3"/>
      <c r="J437" s="1"/>
      <c r="M437" s="7"/>
      <c r="N437" s="7"/>
      <c r="O437" s="7"/>
    </row>
    <row r="438" spans="2:15" x14ac:dyDescent="0.3">
      <c r="B438" s="4"/>
      <c r="I438" s="3"/>
      <c r="J438" s="1"/>
      <c r="M438" s="7"/>
      <c r="N438" s="7"/>
      <c r="O438" s="7"/>
    </row>
    <row r="439" spans="2:15" x14ac:dyDescent="0.3">
      <c r="B439" s="4"/>
      <c r="I439" s="3"/>
      <c r="J439" s="1"/>
      <c r="M439" s="7"/>
      <c r="N439" s="7"/>
      <c r="O439" s="7"/>
    </row>
    <row r="440" spans="2:15" x14ac:dyDescent="0.3">
      <c r="B440" s="4"/>
      <c r="I440" s="3"/>
      <c r="J440" s="1"/>
      <c r="M440" s="7"/>
      <c r="N440" s="7"/>
      <c r="O440" s="7"/>
    </row>
    <row r="441" spans="2:15" x14ac:dyDescent="0.3">
      <c r="B441" s="4"/>
      <c r="I441" s="3"/>
      <c r="J441" s="1"/>
      <c r="M441" s="7"/>
      <c r="N441" s="8"/>
      <c r="O441" s="7"/>
    </row>
    <row r="442" spans="2:15" x14ac:dyDescent="0.3">
      <c r="B442" s="4"/>
      <c r="I442" s="3"/>
      <c r="J442" s="1"/>
      <c r="M442" s="7"/>
      <c r="N442" s="7"/>
      <c r="O442" s="7"/>
    </row>
    <row r="443" spans="2:15" x14ac:dyDescent="0.3">
      <c r="B443" s="4"/>
      <c r="I443" s="3"/>
      <c r="J443" s="1"/>
      <c r="M443" s="7"/>
      <c r="N443" s="7"/>
      <c r="O443" s="7"/>
    </row>
    <row r="444" spans="2:15" x14ac:dyDescent="0.3">
      <c r="B444" s="4"/>
      <c r="I444" s="3"/>
      <c r="J444" s="1"/>
      <c r="M444" s="7"/>
      <c r="N444" s="7"/>
      <c r="O444" s="7"/>
    </row>
    <row r="445" spans="2:15" x14ac:dyDescent="0.3">
      <c r="B445" s="4"/>
      <c r="I445" s="3"/>
      <c r="J445" s="1"/>
      <c r="M445" s="7"/>
      <c r="N445" s="7"/>
      <c r="O445" s="7"/>
    </row>
    <row r="446" spans="2:15" x14ac:dyDescent="0.3">
      <c r="B446" s="4"/>
      <c r="I446" s="3"/>
      <c r="J446" s="1"/>
      <c r="M446" s="7"/>
      <c r="N446" s="7"/>
      <c r="O446" s="7"/>
    </row>
    <row r="447" spans="2:15" x14ac:dyDescent="0.3">
      <c r="B447" s="4"/>
      <c r="I447" s="3"/>
      <c r="J447" s="1"/>
      <c r="M447" s="7"/>
      <c r="N447" s="7"/>
      <c r="O447" s="7"/>
    </row>
    <row r="448" spans="2:15" x14ac:dyDescent="0.3">
      <c r="B448" s="4"/>
      <c r="I448" s="3"/>
      <c r="J448" s="1"/>
      <c r="M448" s="7"/>
      <c r="N448" s="7"/>
      <c r="O448" s="7"/>
    </row>
    <row r="449" spans="2:15" x14ac:dyDescent="0.3">
      <c r="B449" s="4"/>
      <c r="I449" s="3"/>
      <c r="J449" s="1"/>
      <c r="M449" s="7"/>
      <c r="N449" s="7"/>
      <c r="O449" s="7"/>
    </row>
    <row r="450" spans="2:15" x14ac:dyDescent="0.3">
      <c r="B450" s="4"/>
      <c r="I450" s="3"/>
      <c r="J450" s="1"/>
      <c r="M450" s="7"/>
      <c r="N450" s="7"/>
      <c r="O450" s="7"/>
    </row>
    <row r="451" spans="2:15" x14ac:dyDescent="0.3">
      <c r="B451" s="4"/>
      <c r="I451" s="3"/>
      <c r="J451" s="1"/>
      <c r="M451" s="7"/>
      <c r="N451" s="7"/>
      <c r="O451" s="7"/>
    </row>
    <row r="452" spans="2:15" x14ac:dyDescent="0.3">
      <c r="B452" s="4"/>
      <c r="I452" s="3"/>
      <c r="J452" s="1"/>
      <c r="M452" s="7"/>
      <c r="N452" s="7"/>
      <c r="O452" s="7"/>
    </row>
    <row r="453" spans="2:15" x14ac:dyDescent="0.3">
      <c r="B453" s="4"/>
      <c r="I453" s="3"/>
      <c r="J453" s="1"/>
      <c r="M453" s="7"/>
      <c r="N453" s="7"/>
      <c r="O453" s="7"/>
    </row>
    <row r="454" spans="2:15" x14ac:dyDescent="0.3">
      <c r="B454" s="4"/>
      <c r="I454" s="3"/>
      <c r="J454" s="1"/>
      <c r="M454" s="7"/>
      <c r="N454" s="7"/>
      <c r="O454" s="7"/>
    </row>
    <row r="455" spans="2:15" x14ac:dyDescent="0.3">
      <c r="B455" s="4"/>
      <c r="I455" s="3"/>
      <c r="J455" s="1"/>
      <c r="M455" s="7"/>
      <c r="N455" s="7"/>
      <c r="O455" s="7"/>
    </row>
    <row r="456" spans="2:15" x14ac:dyDescent="0.3">
      <c r="B456" s="4"/>
      <c r="I456" s="3"/>
      <c r="J456" s="1"/>
      <c r="M456" s="7"/>
      <c r="N456" s="7"/>
      <c r="O456" s="7"/>
    </row>
    <row r="457" spans="2:15" x14ac:dyDescent="0.3">
      <c r="B457" s="4"/>
      <c r="I457" s="3"/>
      <c r="J457" s="1"/>
      <c r="M457" s="7"/>
      <c r="N457" s="7"/>
      <c r="O457" s="7"/>
    </row>
    <row r="458" spans="2:15" x14ac:dyDescent="0.3">
      <c r="B458" s="4"/>
      <c r="I458" s="3"/>
      <c r="J458" s="1"/>
      <c r="M458" s="7"/>
      <c r="N458" s="7"/>
      <c r="O458" s="7"/>
    </row>
    <row r="459" spans="2:15" x14ac:dyDescent="0.3">
      <c r="B459" s="4"/>
      <c r="I459" s="3"/>
      <c r="J459" s="1"/>
      <c r="M459" s="7"/>
      <c r="N459" s="7"/>
      <c r="O459" s="7"/>
    </row>
    <row r="460" spans="2:15" x14ac:dyDescent="0.3">
      <c r="B460" s="4"/>
      <c r="I460" s="3"/>
      <c r="J460" s="1"/>
      <c r="M460" s="7"/>
      <c r="N460" s="7"/>
      <c r="O460" s="7"/>
    </row>
    <row r="461" spans="2:15" x14ac:dyDescent="0.3">
      <c r="B461" s="4"/>
      <c r="I461" s="3"/>
      <c r="J461" s="1"/>
      <c r="M461" s="7"/>
      <c r="N461" s="7"/>
      <c r="O461" s="7"/>
    </row>
    <row r="462" spans="2:15" x14ac:dyDescent="0.3">
      <c r="B462" s="4"/>
      <c r="I462" s="3"/>
      <c r="J462" s="1"/>
      <c r="M462" s="7"/>
      <c r="N462" s="7"/>
      <c r="O462" s="7"/>
    </row>
    <row r="463" spans="2:15" x14ac:dyDescent="0.3">
      <c r="B463" s="4"/>
      <c r="I463" s="3"/>
      <c r="J463" s="1"/>
      <c r="M463" s="7"/>
      <c r="N463" s="7"/>
      <c r="O463" s="7"/>
    </row>
    <row r="464" spans="2:15" x14ac:dyDescent="0.3">
      <c r="B464" s="4"/>
      <c r="I464" s="3"/>
      <c r="J464" s="1"/>
      <c r="M464" s="7"/>
      <c r="N464" s="7"/>
      <c r="O464" s="7"/>
    </row>
    <row r="465" spans="2:15" x14ac:dyDescent="0.3">
      <c r="B465" s="4"/>
      <c r="I465" s="3"/>
      <c r="J465" s="1"/>
      <c r="M465" s="7"/>
      <c r="N465" s="7"/>
      <c r="O465" s="7"/>
    </row>
    <row r="466" spans="2:15" x14ac:dyDescent="0.3">
      <c r="B466" s="4"/>
      <c r="I466" s="3"/>
      <c r="J466" s="1"/>
      <c r="M466" s="7"/>
      <c r="N466" s="7"/>
      <c r="O466" s="7"/>
    </row>
    <row r="467" spans="2:15" x14ac:dyDescent="0.3">
      <c r="B467" s="4"/>
      <c r="I467" s="3"/>
      <c r="J467" s="1"/>
      <c r="M467" s="7"/>
      <c r="N467" s="7"/>
      <c r="O467" s="7"/>
    </row>
    <row r="468" spans="2:15" x14ac:dyDescent="0.3">
      <c r="B468" s="4"/>
      <c r="I468" s="3"/>
      <c r="J468" s="1"/>
      <c r="M468" s="7"/>
      <c r="N468" s="7"/>
      <c r="O468" s="7"/>
    </row>
    <row r="469" spans="2:15" x14ac:dyDescent="0.3">
      <c r="B469" s="4"/>
      <c r="I469" s="3"/>
      <c r="J469" s="1"/>
      <c r="M469" s="7"/>
      <c r="N469" s="7"/>
      <c r="O469" s="7"/>
    </row>
    <row r="470" spans="2:15" x14ac:dyDescent="0.3">
      <c r="B470" s="4"/>
      <c r="I470" s="3"/>
      <c r="J470" s="1"/>
    </row>
    <row r="471" spans="2:15" x14ac:dyDescent="0.3">
      <c r="B471" s="4"/>
      <c r="I471" s="3"/>
      <c r="J471" s="1"/>
    </row>
    <row r="472" spans="2:15" x14ac:dyDescent="0.3">
      <c r="B472" s="4"/>
      <c r="I472" s="3"/>
      <c r="J472" s="1"/>
    </row>
    <row r="473" spans="2:15" x14ac:dyDescent="0.3">
      <c r="B473" s="4"/>
      <c r="I473" s="3"/>
      <c r="J473" s="1"/>
    </row>
    <row r="474" spans="2:15" x14ac:dyDescent="0.3">
      <c r="B474" s="4"/>
      <c r="I474" s="3"/>
      <c r="J474" s="1"/>
    </row>
    <row r="475" spans="2:15" x14ac:dyDescent="0.3">
      <c r="B475" s="4"/>
      <c r="I475" s="3"/>
      <c r="J475" s="1"/>
    </row>
    <row r="476" spans="2:15" x14ac:dyDescent="0.3">
      <c r="B476" s="4"/>
      <c r="I476" s="3"/>
      <c r="J476" s="1"/>
    </row>
    <row r="477" spans="2:15" x14ac:dyDescent="0.3">
      <c r="B477" s="4"/>
      <c r="I477" s="3"/>
      <c r="J477" s="1"/>
    </row>
    <row r="478" spans="2:15" x14ac:dyDescent="0.3">
      <c r="B478" s="4"/>
      <c r="I478" s="3"/>
      <c r="J478" s="1"/>
    </row>
    <row r="479" spans="2:15" x14ac:dyDescent="0.3">
      <c r="B479" s="4"/>
      <c r="I479" s="3"/>
      <c r="J479" s="1"/>
    </row>
    <row r="480" spans="2:15" x14ac:dyDescent="0.3">
      <c r="B480" s="4"/>
      <c r="I480" s="3"/>
      <c r="J480" s="1"/>
    </row>
    <row r="481" spans="2:10" x14ac:dyDescent="0.3">
      <c r="B481" s="4"/>
      <c r="I481" s="3"/>
      <c r="J481" s="1"/>
    </row>
    <row r="482" spans="2:10" x14ac:dyDescent="0.3">
      <c r="B482" s="4"/>
      <c r="I482" s="3"/>
      <c r="J482" s="1"/>
    </row>
    <row r="483" spans="2:10" x14ac:dyDescent="0.3">
      <c r="B483" s="4"/>
      <c r="I483" s="3"/>
      <c r="J483" s="1"/>
    </row>
    <row r="484" spans="2:10" x14ac:dyDescent="0.3">
      <c r="B484" s="4"/>
      <c r="I484" s="3"/>
      <c r="J484" s="1"/>
    </row>
    <row r="485" spans="2:10" x14ac:dyDescent="0.3">
      <c r="B485" s="4"/>
      <c r="I485" s="3"/>
      <c r="J485" s="1"/>
    </row>
    <row r="486" spans="2:10" x14ac:dyDescent="0.3">
      <c r="B486" s="4"/>
      <c r="I486" s="3"/>
      <c r="J486" s="1"/>
    </row>
    <row r="487" spans="2:10" x14ac:dyDescent="0.3">
      <c r="B487" s="4"/>
      <c r="I487" s="3"/>
      <c r="J487" s="1"/>
    </row>
    <row r="488" spans="2:10" x14ac:dyDescent="0.3">
      <c r="B488" s="4"/>
      <c r="I488" s="3"/>
      <c r="J488" s="1"/>
    </row>
    <row r="489" spans="2:10" x14ac:dyDescent="0.3">
      <c r="B489" s="4"/>
      <c r="I489" s="3"/>
      <c r="J489" s="1"/>
    </row>
    <row r="490" spans="2:10" x14ac:dyDescent="0.3">
      <c r="B490" s="4"/>
      <c r="I490" s="3"/>
      <c r="J490" s="1"/>
    </row>
    <row r="491" spans="2:10" x14ac:dyDescent="0.3">
      <c r="B491" s="4"/>
      <c r="I491" s="3"/>
      <c r="J491" s="1"/>
    </row>
    <row r="492" spans="2:10" x14ac:dyDescent="0.3">
      <c r="B492" s="4"/>
      <c r="I492" s="3"/>
      <c r="J492" s="1"/>
    </row>
    <row r="493" spans="2:10" x14ac:dyDescent="0.3">
      <c r="B493" s="4"/>
      <c r="I493" s="3"/>
      <c r="J493" s="1"/>
    </row>
    <row r="494" spans="2:10" x14ac:dyDescent="0.3">
      <c r="B494" s="4"/>
      <c r="I494" s="3"/>
      <c r="J494" s="1"/>
    </row>
    <row r="495" spans="2:10" x14ac:dyDescent="0.3">
      <c r="B495" s="4"/>
      <c r="I495" s="3"/>
      <c r="J495" s="1"/>
    </row>
    <row r="496" spans="2:10" x14ac:dyDescent="0.3">
      <c r="B496" s="4"/>
      <c r="I496" s="3"/>
      <c r="J496" s="1"/>
    </row>
    <row r="497" spans="2:10" x14ac:dyDescent="0.3">
      <c r="B497" s="4"/>
      <c r="I497" s="3"/>
      <c r="J497" s="1"/>
    </row>
    <row r="498" spans="2:10" x14ac:dyDescent="0.3">
      <c r="B498" s="4"/>
      <c r="I498" s="3"/>
      <c r="J498" s="1"/>
    </row>
    <row r="499" spans="2:10" x14ac:dyDescent="0.3">
      <c r="B499" s="4"/>
      <c r="I499" s="3"/>
      <c r="J499" s="1"/>
    </row>
    <row r="500" spans="2:10" x14ac:dyDescent="0.3">
      <c r="B500" s="4"/>
      <c r="I500" s="3"/>
      <c r="J500" s="1"/>
    </row>
    <row r="501" spans="2:10" x14ac:dyDescent="0.3">
      <c r="B501" s="4"/>
      <c r="I501" s="3"/>
      <c r="J501" s="1"/>
    </row>
    <row r="502" spans="2:10" x14ac:dyDescent="0.3">
      <c r="B502" s="4"/>
      <c r="I502" s="3"/>
      <c r="J502" s="1"/>
    </row>
    <row r="503" spans="2:10" x14ac:dyDescent="0.3">
      <c r="B503" s="4"/>
      <c r="I503" s="3"/>
      <c r="J503" s="1"/>
    </row>
    <row r="504" spans="2:10" x14ac:dyDescent="0.3">
      <c r="B504" s="4"/>
      <c r="I504" s="3"/>
      <c r="J504" s="1"/>
    </row>
    <row r="505" spans="2:10" x14ac:dyDescent="0.3">
      <c r="B505" s="4"/>
      <c r="I505" s="3"/>
      <c r="J505" s="1"/>
    </row>
    <row r="506" spans="2:10" x14ac:dyDescent="0.3">
      <c r="B506" s="4"/>
      <c r="I506" s="3"/>
      <c r="J506" s="1"/>
    </row>
    <row r="507" spans="2:10" x14ac:dyDescent="0.3">
      <c r="B507" s="4"/>
      <c r="I507" s="3"/>
      <c r="J507" s="1"/>
    </row>
    <row r="508" spans="2:10" x14ac:dyDescent="0.3">
      <c r="B508" s="4"/>
      <c r="I508" s="3"/>
      <c r="J508" s="1"/>
    </row>
    <row r="509" spans="2:10" x14ac:dyDescent="0.3">
      <c r="B509" s="4"/>
      <c r="I509" s="3"/>
      <c r="J509" s="1"/>
    </row>
    <row r="510" spans="2:10" x14ac:dyDescent="0.3">
      <c r="B510" s="4"/>
      <c r="I510" s="3"/>
      <c r="J510" s="1"/>
    </row>
    <row r="511" spans="2:10" x14ac:dyDescent="0.3">
      <c r="B511" s="4"/>
      <c r="I511" s="3"/>
      <c r="J511" s="1"/>
    </row>
    <row r="512" spans="2:10" x14ac:dyDescent="0.3">
      <c r="B512" s="4"/>
      <c r="I512" s="3"/>
      <c r="J512" s="1"/>
    </row>
    <row r="513" spans="2:10" x14ac:dyDescent="0.3">
      <c r="B513" s="4"/>
      <c r="I513" s="3"/>
      <c r="J513" s="1"/>
    </row>
    <row r="514" spans="2:10" x14ac:dyDescent="0.3">
      <c r="B514" s="4"/>
      <c r="I514" s="3"/>
      <c r="J514" s="1"/>
    </row>
    <row r="515" spans="2:10" x14ac:dyDescent="0.3">
      <c r="B515" s="4"/>
      <c r="I515" s="3"/>
      <c r="J515" s="1"/>
    </row>
    <row r="516" spans="2:10" x14ac:dyDescent="0.3">
      <c r="B516" s="4"/>
      <c r="I516" s="3"/>
      <c r="J516" s="1"/>
    </row>
    <row r="517" spans="2:10" x14ac:dyDescent="0.3">
      <c r="B517" s="4"/>
      <c r="I517" s="3"/>
      <c r="J517" s="1"/>
    </row>
    <row r="518" spans="2:10" x14ac:dyDescent="0.3">
      <c r="B518" s="4"/>
      <c r="I518" s="3"/>
      <c r="J518" s="1"/>
    </row>
    <row r="519" spans="2:10" x14ac:dyDescent="0.3">
      <c r="B519" s="4"/>
      <c r="I519" s="3"/>
      <c r="J519" s="1"/>
    </row>
    <row r="520" spans="2:10" x14ac:dyDescent="0.3">
      <c r="B520" s="4"/>
      <c r="I520" s="3"/>
      <c r="J520" s="1"/>
    </row>
    <row r="521" spans="2:10" x14ac:dyDescent="0.3">
      <c r="B521" s="4"/>
      <c r="I521" s="3"/>
      <c r="J521" s="1"/>
    </row>
    <row r="522" spans="2:10" x14ac:dyDescent="0.3">
      <c r="B522" s="4"/>
      <c r="I522" s="3"/>
      <c r="J522" s="1"/>
    </row>
    <row r="523" spans="2:10" x14ac:dyDescent="0.3">
      <c r="B523" s="4"/>
      <c r="I523" s="3"/>
      <c r="J523" s="1"/>
    </row>
    <row r="524" spans="2:10" x14ac:dyDescent="0.3">
      <c r="B524" s="4"/>
      <c r="I524" s="3"/>
      <c r="J524" s="1"/>
    </row>
    <row r="525" spans="2:10" x14ac:dyDescent="0.3">
      <c r="B525" s="4"/>
      <c r="I525" s="3"/>
      <c r="J525" s="1"/>
    </row>
    <row r="526" spans="2:10" x14ac:dyDescent="0.3">
      <c r="B526" s="4"/>
      <c r="I526" s="3"/>
      <c r="J526" s="1"/>
    </row>
    <row r="527" spans="2:10" x14ac:dyDescent="0.3">
      <c r="B527" s="4"/>
      <c r="I527" s="3"/>
      <c r="J527" s="1"/>
    </row>
    <row r="528" spans="2:10" x14ac:dyDescent="0.3">
      <c r="B528" s="4"/>
      <c r="I528" s="3"/>
      <c r="J528" s="1"/>
    </row>
    <row r="529" spans="2:10" x14ac:dyDescent="0.3">
      <c r="B529" s="4"/>
      <c r="I529" s="3"/>
      <c r="J529" s="1"/>
    </row>
    <row r="530" spans="2:10" x14ac:dyDescent="0.3">
      <c r="B530" s="4"/>
      <c r="I530" s="3"/>
      <c r="J530" s="1"/>
    </row>
    <row r="531" spans="2:10" x14ac:dyDescent="0.3">
      <c r="B531" s="4"/>
      <c r="I531" s="3"/>
      <c r="J531" s="1"/>
    </row>
    <row r="532" spans="2:10" x14ac:dyDescent="0.3">
      <c r="B532" s="4"/>
      <c r="I532" s="3"/>
      <c r="J532" s="1"/>
    </row>
    <row r="533" spans="2:10" x14ac:dyDescent="0.3">
      <c r="B533" s="4"/>
      <c r="I533" s="3"/>
      <c r="J533" s="1"/>
    </row>
    <row r="534" spans="2:10" x14ac:dyDescent="0.3">
      <c r="B534" s="4"/>
      <c r="I534" s="3"/>
      <c r="J534" s="1"/>
    </row>
    <row r="535" spans="2:10" x14ac:dyDescent="0.3">
      <c r="B535" s="4"/>
      <c r="I535" s="3"/>
      <c r="J535" s="1"/>
    </row>
    <row r="536" spans="2:10" x14ac:dyDescent="0.3">
      <c r="B536" s="4"/>
      <c r="I536" s="3"/>
      <c r="J536" s="1"/>
    </row>
    <row r="537" spans="2:10" x14ac:dyDescent="0.3">
      <c r="B537" s="4"/>
      <c r="I537" s="3"/>
      <c r="J537" s="1"/>
    </row>
    <row r="538" spans="2:10" x14ac:dyDescent="0.3">
      <c r="B538" s="4"/>
      <c r="I538" s="3"/>
      <c r="J538" s="1"/>
    </row>
    <row r="539" spans="2:10" x14ac:dyDescent="0.3">
      <c r="B539" s="4"/>
      <c r="I539" s="3"/>
      <c r="J539" s="1"/>
    </row>
    <row r="540" spans="2:10" x14ac:dyDescent="0.3">
      <c r="B540" s="4"/>
      <c r="I540" s="3"/>
      <c r="J540" s="1"/>
    </row>
    <row r="541" spans="2:10" x14ac:dyDescent="0.3">
      <c r="B541" s="4"/>
      <c r="I541" s="3"/>
      <c r="J541" s="1"/>
    </row>
    <row r="542" spans="2:10" x14ac:dyDescent="0.3">
      <c r="B542" s="4"/>
      <c r="I542" s="3"/>
      <c r="J542" s="1"/>
    </row>
    <row r="543" spans="2:10" x14ac:dyDescent="0.3">
      <c r="B543" s="4"/>
      <c r="I543" s="3"/>
      <c r="J543" s="1"/>
    </row>
    <row r="544" spans="2:10" x14ac:dyDescent="0.3">
      <c r="B544" s="4"/>
      <c r="I544" s="3"/>
      <c r="J544" s="1"/>
    </row>
    <row r="545" spans="2:10" x14ac:dyDescent="0.3">
      <c r="B545" s="4"/>
      <c r="I545" s="3"/>
      <c r="J545" s="1"/>
    </row>
    <row r="546" spans="2:10" x14ac:dyDescent="0.3">
      <c r="B546" s="4"/>
      <c r="I546" s="3"/>
      <c r="J546" s="1"/>
    </row>
    <row r="547" spans="2:10" x14ac:dyDescent="0.3">
      <c r="B547" s="4"/>
      <c r="I547" s="3"/>
      <c r="J547" s="1"/>
    </row>
    <row r="548" spans="2:10" x14ac:dyDescent="0.3">
      <c r="B548" s="4"/>
      <c r="I548" s="3"/>
      <c r="J548" s="1"/>
    </row>
    <row r="549" spans="2:10" x14ac:dyDescent="0.3">
      <c r="B549" s="4"/>
      <c r="I549" s="3"/>
      <c r="J549" s="1"/>
    </row>
    <row r="550" spans="2:10" x14ac:dyDescent="0.3">
      <c r="B550" s="4"/>
      <c r="I550" s="3"/>
      <c r="J550" s="1"/>
    </row>
    <row r="551" spans="2:10" x14ac:dyDescent="0.3">
      <c r="B551" s="4"/>
      <c r="I551" s="3"/>
      <c r="J551" s="1"/>
    </row>
    <row r="552" spans="2:10" x14ac:dyDescent="0.3">
      <c r="B552" s="4"/>
      <c r="I552" s="3"/>
      <c r="J552" s="1"/>
    </row>
    <row r="553" spans="2:10" x14ac:dyDescent="0.3">
      <c r="B553" s="4"/>
      <c r="I553" s="3"/>
      <c r="J553" s="1"/>
    </row>
    <row r="554" spans="2:10" x14ac:dyDescent="0.3">
      <c r="B554" s="4"/>
      <c r="I554" s="3"/>
      <c r="J554" s="1"/>
    </row>
    <row r="555" spans="2:10" x14ac:dyDescent="0.3">
      <c r="B555" s="4"/>
      <c r="I555" s="3"/>
      <c r="J555" s="1"/>
    </row>
    <row r="556" spans="2:10" x14ac:dyDescent="0.3">
      <c r="B556" s="4"/>
      <c r="I556" s="3"/>
      <c r="J556" s="1"/>
    </row>
    <row r="557" spans="2:10" x14ac:dyDescent="0.3">
      <c r="B557" s="4"/>
      <c r="I557" s="3"/>
      <c r="J557" s="1"/>
    </row>
    <row r="558" spans="2:10" x14ac:dyDescent="0.3">
      <c r="B558" s="4"/>
      <c r="I558" s="3"/>
      <c r="J558" s="1"/>
    </row>
    <row r="559" spans="2:10" x14ac:dyDescent="0.3">
      <c r="B559" s="4"/>
      <c r="I559" s="3"/>
      <c r="J559" s="1"/>
    </row>
    <row r="560" spans="2:10" x14ac:dyDescent="0.3">
      <c r="B560" s="4"/>
      <c r="I560" s="3"/>
      <c r="J560" s="1"/>
    </row>
    <row r="561" spans="2:10" x14ac:dyDescent="0.3">
      <c r="B561" s="4"/>
      <c r="I561" s="3"/>
      <c r="J561" s="1"/>
    </row>
    <row r="562" spans="2:10" x14ac:dyDescent="0.3">
      <c r="B562" s="4"/>
      <c r="I562" s="3"/>
      <c r="J562" s="1"/>
    </row>
    <row r="563" spans="2:10" x14ac:dyDescent="0.3">
      <c r="B563" s="4"/>
      <c r="I563" s="3"/>
      <c r="J563" s="1"/>
    </row>
    <row r="564" spans="2:10" x14ac:dyDescent="0.3">
      <c r="B564" s="4"/>
      <c r="I564" s="3"/>
      <c r="J564" s="1"/>
    </row>
    <row r="565" spans="2:10" x14ac:dyDescent="0.3">
      <c r="B565" s="4"/>
      <c r="I565" s="3"/>
      <c r="J565" s="1"/>
    </row>
    <row r="566" spans="2:10" x14ac:dyDescent="0.3">
      <c r="B566" s="4"/>
      <c r="I566" s="3"/>
      <c r="J566" s="1"/>
    </row>
    <row r="567" spans="2:10" x14ac:dyDescent="0.3">
      <c r="B567" s="4"/>
      <c r="I567" s="3"/>
      <c r="J567" s="1"/>
    </row>
    <row r="568" spans="2:10" x14ac:dyDescent="0.3">
      <c r="B568" s="4"/>
      <c r="I568" s="3"/>
      <c r="J568" s="1"/>
    </row>
    <row r="569" spans="2:10" x14ac:dyDescent="0.3">
      <c r="B569" s="4"/>
      <c r="I569" s="3"/>
      <c r="J569" s="1"/>
    </row>
    <row r="570" spans="2:10" x14ac:dyDescent="0.3">
      <c r="B570" s="4"/>
      <c r="I570" s="3"/>
      <c r="J570" s="1"/>
    </row>
    <row r="571" spans="2:10" x14ac:dyDescent="0.3">
      <c r="B571" s="4"/>
      <c r="I571" s="3"/>
      <c r="J571" s="1"/>
    </row>
    <row r="572" spans="2:10" x14ac:dyDescent="0.3">
      <c r="B572" s="4"/>
      <c r="I572" s="3"/>
      <c r="J572" s="1"/>
    </row>
    <row r="573" spans="2:10" x14ac:dyDescent="0.3">
      <c r="B573" s="4"/>
      <c r="I573" s="3"/>
      <c r="J573" s="1"/>
    </row>
    <row r="574" spans="2:10" x14ac:dyDescent="0.3">
      <c r="B574" s="4"/>
      <c r="I574" s="3"/>
      <c r="J574" s="1"/>
    </row>
    <row r="575" spans="2:10" x14ac:dyDescent="0.3">
      <c r="B575" s="4"/>
      <c r="I575" s="3"/>
      <c r="J575" s="1"/>
    </row>
    <row r="576" spans="2:10" x14ac:dyDescent="0.3">
      <c r="B576" s="4"/>
      <c r="I576" s="3"/>
      <c r="J576" s="1"/>
    </row>
    <row r="577" spans="2:10" x14ac:dyDescent="0.3">
      <c r="B577" s="4"/>
      <c r="I577" s="3"/>
      <c r="J577" s="1"/>
    </row>
    <row r="578" spans="2:10" x14ac:dyDescent="0.3">
      <c r="B578" s="4"/>
      <c r="I578" s="3"/>
      <c r="J578" s="1"/>
    </row>
    <row r="579" spans="2:10" x14ac:dyDescent="0.3">
      <c r="B579" s="4"/>
      <c r="I579" s="3"/>
      <c r="J579" s="1"/>
    </row>
    <row r="580" spans="2:10" x14ac:dyDescent="0.3">
      <c r="B580" s="4"/>
      <c r="I580" s="3"/>
      <c r="J580" s="1"/>
    </row>
    <row r="581" spans="2:10" x14ac:dyDescent="0.3">
      <c r="B581" s="4"/>
      <c r="I581" s="3"/>
      <c r="J581" s="1"/>
    </row>
    <row r="582" spans="2:10" x14ac:dyDescent="0.3">
      <c r="B582" s="4"/>
      <c r="I582" s="3"/>
      <c r="J582" s="1"/>
    </row>
    <row r="583" spans="2:10" x14ac:dyDescent="0.3">
      <c r="B583" s="4"/>
      <c r="I583" s="3"/>
      <c r="J583" s="1"/>
    </row>
    <row r="584" spans="2:10" x14ac:dyDescent="0.3">
      <c r="B584" s="4"/>
      <c r="I584" s="3"/>
      <c r="J584" s="1"/>
    </row>
    <row r="585" spans="2:10" x14ac:dyDescent="0.3">
      <c r="B585" s="4"/>
      <c r="I585" s="3"/>
      <c r="J585" s="1"/>
    </row>
    <row r="586" spans="2:10" x14ac:dyDescent="0.3">
      <c r="B586" s="4"/>
      <c r="I586" s="3"/>
      <c r="J586" s="1"/>
    </row>
    <row r="587" spans="2:10" x14ac:dyDescent="0.3">
      <c r="B587" s="4"/>
      <c r="I587" s="3"/>
      <c r="J587" s="1"/>
    </row>
    <row r="588" spans="2:10" x14ac:dyDescent="0.3">
      <c r="B588" s="4"/>
      <c r="I588" s="3"/>
      <c r="J588" s="1"/>
    </row>
    <row r="589" spans="2:10" x14ac:dyDescent="0.3">
      <c r="B589" s="4"/>
      <c r="I589" s="3"/>
      <c r="J589" s="1"/>
    </row>
    <row r="590" spans="2:10" x14ac:dyDescent="0.3">
      <c r="B590" s="4"/>
      <c r="I590" s="3"/>
      <c r="J590" s="1"/>
    </row>
    <row r="591" spans="2:10" x14ac:dyDescent="0.3">
      <c r="B591" s="4"/>
      <c r="I591" s="3"/>
      <c r="J591" s="1"/>
    </row>
    <row r="592" spans="2:10" x14ac:dyDescent="0.3">
      <c r="B592" s="4"/>
      <c r="I592" s="3"/>
      <c r="J592" s="1"/>
    </row>
    <row r="593" spans="2:10" x14ac:dyDescent="0.3">
      <c r="B593" s="4"/>
      <c r="I593" s="3"/>
      <c r="J593" s="1"/>
    </row>
    <row r="594" spans="2:10" x14ac:dyDescent="0.3">
      <c r="B594" s="4"/>
      <c r="I594" s="3"/>
      <c r="J594" s="1"/>
    </row>
    <row r="595" spans="2:10" x14ac:dyDescent="0.3">
      <c r="B595" s="4"/>
      <c r="I595" s="3"/>
      <c r="J595" s="1"/>
    </row>
    <row r="596" spans="2:10" x14ac:dyDescent="0.3">
      <c r="B596" s="4"/>
      <c r="I596" s="3"/>
      <c r="J596" s="1"/>
    </row>
    <row r="597" spans="2:10" x14ac:dyDescent="0.3">
      <c r="B597" s="4"/>
      <c r="I597" s="3"/>
      <c r="J597" s="1"/>
    </row>
    <row r="598" spans="2:10" x14ac:dyDescent="0.3">
      <c r="B598" s="4"/>
      <c r="I598" s="3"/>
      <c r="J598" s="1"/>
    </row>
    <row r="599" spans="2:10" x14ac:dyDescent="0.3">
      <c r="B599" s="4"/>
      <c r="I599" s="3"/>
      <c r="J599" s="1"/>
    </row>
    <row r="600" spans="2:10" x14ac:dyDescent="0.3">
      <c r="B600" s="4"/>
      <c r="I600" s="3"/>
      <c r="J600" s="1"/>
    </row>
    <row r="601" spans="2:10" x14ac:dyDescent="0.3">
      <c r="B601" s="4"/>
      <c r="I601" s="3"/>
      <c r="J601" s="1"/>
    </row>
    <row r="602" spans="2:10" x14ac:dyDescent="0.3">
      <c r="B602" s="4"/>
      <c r="I602" s="3"/>
      <c r="J602" s="1"/>
    </row>
    <row r="603" spans="2:10" x14ac:dyDescent="0.3">
      <c r="B603" s="4"/>
      <c r="I603" s="3"/>
      <c r="J603" s="1"/>
    </row>
    <row r="604" spans="2:10" x14ac:dyDescent="0.3">
      <c r="B604" s="4"/>
      <c r="I604" s="3"/>
      <c r="J604" s="1"/>
    </row>
    <row r="605" spans="2:10" x14ac:dyDescent="0.3">
      <c r="B605" s="4"/>
      <c r="I605" s="3"/>
      <c r="J605" s="1"/>
    </row>
    <row r="606" spans="2:10" x14ac:dyDescent="0.3">
      <c r="B606" s="4"/>
      <c r="I606" s="3"/>
      <c r="J606" s="1"/>
    </row>
    <row r="607" spans="2:10" x14ac:dyDescent="0.3">
      <c r="B607" s="4"/>
      <c r="I607" s="3"/>
      <c r="J607" s="1"/>
    </row>
    <row r="608" spans="2:10" x14ac:dyDescent="0.3">
      <c r="B608" s="4"/>
      <c r="I608" s="3"/>
      <c r="J608" s="1"/>
    </row>
    <row r="609" spans="2:10" x14ac:dyDescent="0.3">
      <c r="B609" s="4"/>
      <c r="I609" s="3"/>
      <c r="J609" s="1"/>
    </row>
    <row r="610" spans="2:10" x14ac:dyDescent="0.3">
      <c r="B610" s="4"/>
      <c r="I610" s="3"/>
      <c r="J610" s="1"/>
    </row>
    <row r="611" spans="2:10" x14ac:dyDescent="0.3">
      <c r="B611" s="4"/>
      <c r="I611" s="3"/>
      <c r="J611" s="1"/>
    </row>
    <row r="612" spans="2:10" x14ac:dyDescent="0.3">
      <c r="B612" s="4"/>
      <c r="I612" s="3"/>
      <c r="J612" s="1"/>
    </row>
    <row r="613" spans="2:10" x14ac:dyDescent="0.3">
      <c r="B613" s="4"/>
      <c r="I613" s="3"/>
      <c r="J613" s="1"/>
    </row>
    <row r="614" spans="2:10" x14ac:dyDescent="0.3">
      <c r="B614" s="4"/>
      <c r="I614" s="3"/>
      <c r="J614" s="1"/>
    </row>
    <row r="615" spans="2:10" x14ac:dyDescent="0.3">
      <c r="B615" s="4"/>
      <c r="I615" s="3"/>
      <c r="J615" s="1"/>
    </row>
    <row r="616" spans="2:10" x14ac:dyDescent="0.3">
      <c r="B616" s="4"/>
      <c r="I616" s="3"/>
      <c r="J616" s="1"/>
    </row>
    <row r="617" spans="2:10" x14ac:dyDescent="0.3">
      <c r="B617" s="4"/>
      <c r="I617" s="3"/>
      <c r="J617" s="1"/>
    </row>
    <row r="618" spans="2:10" x14ac:dyDescent="0.3">
      <c r="B618" s="4"/>
      <c r="I618" s="3"/>
      <c r="J618" s="1"/>
    </row>
    <row r="619" spans="2:10" x14ac:dyDescent="0.3">
      <c r="B619" s="4"/>
      <c r="I619" s="3"/>
      <c r="J619" s="1"/>
    </row>
    <row r="620" spans="2:10" x14ac:dyDescent="0.3">
      <c r="B620" s="4"/>
      <c r="I620" s="3"/>
      <c r="J620" s="1"/>
    </row>
    <row r="621" spans="2:10" x14ac:dyDescent="0.3">
      <c r="B621" s="4"/>
      <c r="I621" s="3"/>
      <c r="J621" s="1"/>
    </row>
    <row r="622" spans="2:10" x14ac:dyDescent="0.3">
      <c r="B622" s="4"/>
      <c r="I622" s="3"/>
      <c r="J622" s="1"/>
    </row>
    <row r="623" spans="2:10" x14ac:dyDescent="0.3">
      <c r="B623" s="4"/>
      <c r="I623" s="3"/>
      <c r="J623" s="1"/>
    </row>
    <row r="624" spans="2:10" x14ac:dyDescent="0.3">
      <c r="B624" s="4"/>
      <c r="I624" s="3"/>
      <c r="J624" s="1"/>
    </row>
    <row r="625" spans="2:10" x14ac:dyDescent="0.3">
      <c r="B625" s="4"/>
      <c r="I625" s="3"/>
      <c r="J625" s="1"/>
    </row>
    <row r="626" spans="2:10" x14ac:dyDescent="0.3">
      <c r="B626" s="4"/>
      <c r="I626" s="3"/>
      <c r="J626" s="1"/>
    </row>
    <row r="627" spans="2:10" x14ac:dyDescent="0.3">
      <c r="B627" s="4"/>
      <c r="I627" s="3"/>
      <c r="J627" s="1"/>
    </row>
    <row r="628" spans="2:10" x14ac:dyDescent="0.3">
      <c r="B628" s="4"/>
      <c r="I628" s="3"/>
      <c r="J628" s="1"/>
    </row>
    <row r="629" spans="2:10" x14ac:dyDescent="0.3">
      <c r="B629" s="4"/>
      <c r="I629" s="3"/>
      <c r="J629" s="1"/>
    </row>
    <row r="630" spans="2:10" x14ac:dyDescent="0.3">
      <c r="B630" s="4"/>
      <c r="I630" s="3"/>
      <c r="J630" s="1"/>
    </row>
    <row r="631" spans="2:10" x14ac:dyDescent="0.3">
      <c r="B631" s="4"/>
      <c r="I631" s="3"/>
      <c r="J631" s="1"/>
    </row>
    <row r="632" spans="2:10" x14ac:dyDescent="0.3">
      <c r="B632" s="4"/>
      <c r="I632" s="3"/>
      <c r="J632" s="1"/>
    </row>
    <row r="633" spans="2:10" x14ac:dyDescent="0.3">
      <c r="B633" s="4"/>
      <c r="I633" s="3"/>
      <c r="J633" s="1"/>
    </row>
    <row r="634" spans="2:10" x14ac:dyDescent="0.3">
      <c r="B634" s="4"/>
      <c r="I634" s="3"/>
      <c r="J634" s="1"/>
    </row>
    <row r="635" spans="2:10" x14ac:dyDescent="0.3">
      <c r="B635" s="4"/>
      <c r="I635" s="3"/>
      <c r="J635" s="1"/>
    </row>
    <row r="636" spans="2:10" x14ac:dyDescent="0.3">
      <c r="B636" s="4"/>
      <c r="I636" s="3"/>
      <c r="J636" s="1"/>
    </row>
    <row r="637" spans="2:10" x14ac:dyDescent="0.3">
      <c r="B637" s="4"/>
      <c r="I637" s="3"/>
      <c r="J637" s="1"/>
    </row>
    <row r="638" spans="2:10" x14ac:dyDescent="0.3">
      <c r="B638" s="4"/>
      <c r="I638" s="3"/>
      <c r="J638" s="1"/>
    </row>
    <row r="639" spans="2:10" x14ac:dyDescent="0.3">
      <c r="B639" s="4"/>
      <c r="I639" s="3"/>
      <c r="J639" s="1"/>
    </row>
    <row r="640" spans="2:10" x14ac:dyDescent="0.3">
      <c r="B640" s="4"/>
      <c r="I640" s="3"/>
      <c r="J640" s="1"/>
    </row>
    <row r="641" spans="2:10" x14ac:dyDescent="0.3">
      <c r="B641" s="4"/>
      <c r="I641" s="3"/>
      <c r="J641" s="1"/>
    </row>
    <row r="642" spans="2:10" x14ac:dyDescent="0.3">
      <c r="B642" s="4"/>
      <c r="I642" s="3"/>
      <c r="J642" s="1"/>
    </row>
    <row r="643" spans="2:10" x14ac:dyDescent="0.3">
      <c r="B643" s="4"/>
      <c r="I643" s="3"/>
      <c r="J643" s="1"/>
    </row>
    <row r="644" spans="2:10" x14ac:dyDescent="0.3">
      <c r="B644" s="4"/>
      <c r="I644" s="3"/>
      <c r="J644" s="1"/>
    </row>
    <row r="645" spans="2:10" x14ac:dyDescent="0.3">
      <c r="B645" s="4"/>
      <c r="I645" s="3"/>
      <c r="J645" s="1"/>
    </row>
    <row r="646" spans="2:10" x14ac:dyDescent="0.3">
      <c r="B646" s="4"/>
      <c r="I646" s="3"/>
      <c r="J646" s="1"/>
    </row>
    <row r="647" spans="2:10" x14ac:dyDescent="0.3">
      <c r="B647" s="4"/>
      <c r="I647" s="3"/>
      <c r="J647" s="1"/>
    </row>
    <row r="648" spans="2:10" x14ac:dyDescent="0.3">
      <c r="B648" s="4"/>
      <c r="I648" s="3"/>
      <c r="J648" s="1"/>
    </row>
    <row r="649" spans="2:10" x14ac:dyDescent="0.3">
      <c r="B649" s="4"/>
      <c r="I649" s="3"/>
      <c r="J649" s="1"/>
    </row>
    <row r="650" spans="2:10" x14ac:dyDescent="0.3">
      <c r="B650" s="4"/>
      <c r="I650" s="3"/>
      <c r="J650" s="1"/>
    </row>
    <row r="651" spans="2:10" x14ac:dyDescent="0.3">
      <c r="B651" s="4"/>
      <c r="I651" s="3"/>
      <c r="J651" s="1"/>
    </row>
    <row r="652" spans="2:10" x14ac:dyDescent="0.3">
      <c r="B652" s="4"/>
      <c r="I652" s="3"/>
      <c r="J652" s="1"/>
    </row>
    <row r="653" spans="2:10" x14ac:dyDescent="0.3">
      <c r="B653" s="4"/>
      <c r="I653" s="3"/>
      <c r="J653" s="1"/>
    </row>
    <row r="654" spans="2:10" x14ac:dyDescent="0.3">
      <c r="B654" s="4"/>
      <c r="I654" s="3"/>
      <c r="J654" s="1"/>
    </row>
    <row r="655" spans="2:10" x14ac:dyDescent="0.3">
      <c r="B655" s="4"/>
      <c r="I655" s="3"/>
      <c r="J655" s="1"/>
    </row>
    <row r="656" spans="2:10" x14ac:dyDescent="0.3">
      <c r="B656" s="4"/>
      <c r="I656" s="3"/>
      <c r="J656" s="1"/>
    </row>
    <row r="657" spans="2:10" x14ac:dyDescent="0.3">
      <c r="B657" s="4"/>
      <c r="I657" s="3"/>
      <c r="J657" s="1"/>
    </row>
    <row r="658" spans="2:10" x14ac:dyDescent="0.3">
      <c r="B658" s="4"/>
      <c r="I658" s="3"/>
      <c r="J658" s="1"/>
    </row>
    <row r="659" spans="2:10" x14ac:dyDescent="0.3">
      <c r="B659" s="4"/>
      <c r="I659" s="3"/>
      <c r="J659" s="1"/>
    </row>
    <row r="660" spans="2:10" x14ac:dyDescent="0.3">
      <c r="B660" s="4"/>
      <c r="I660" s="3"/>
      <c r="J660" s="1"/>
    </row>
    <row r="661" spans="2:10" x14ac:dyDescent="0.3">
      <c r="B661" s="4"/>
      <c r="I661" s="3"/>
      <c r="J661" s="1"/>
    </row>
    <row r="662" spans="2:10" x14ac:dyDescent="0.3">
      <c r="B662" s="4"/>
      <c r="I662" s="3"/>
      <c r="J662" s="1"/>
    </row>
    <row r="663" spans="2:10" x14ac:dyDescent="0.3">
      <c r="B663" s="4"/>
      <c r="I663" s="3"/>
      <c r="J663" s="1"/>
    </row>
    <row r="664" spans="2:10" x14ac:dyDescent="0.3">
      <c r="B664" s="4"/>
      <c r="I664" s="3"/>
      <c r="J664" s="1"/>
    </row>
    <row r="665" spans="2:10" x14ac:dyDescent="0.3">
      <c r="B665" s="4"/>
      <c r="I665" s="3"/>
      <c r="J665" s="1"/>
    </row>
    <row r="666" spans="2:10" x14ac:dyDescent="0.3">
      <c r="B666" s="4"/>
      <c r="I666" s="3"/>
      <c r="J666" s="1"/>
    </row>
    <row r="667" spans="2:10" x14ac:dyDescent="0.3">
      <c r="B667" s="4"/>
      <c r="I667" s="3"/>
      <c r="J667" s="1"/>
    </row>
    <row r="668" spans="2:10" x14ac:dyDescent="0.3">
      <c r="B668" s="4"/>
      <c r="I668" s="3"/>
      <c r="J668" s="1"/>
    </row>
    <row r="669" spans="2:10" x14ac:dyDescent="0.3">
      <c r="B669" s="4"/>
      <c r="I669" s="3"/>
      <c r="J669" s="1"/>
    </row>
    <row r="670" spans="2:10" x14ac:dyDescent="0.3">
      <c r="B670" s="4"/>
      <c r="I670" s="3"/>
      <c r="J670" s="1"/>
    </row>
    <row r="671" spans="2:10" x14ac:dyDescent="0.3">
      <c r="B671" s="4"/>
      <c r="I671" s="3"/>
      <c r="J671" s="1"/>
    </row>
    <row r="672" spans="2:10" x14ac:dyDescent="0.3">
      <c r="B672" s="4"/>
      <c r="I672" s="3"/>
      <c r="J672" s="1"/>
    </row>
    <row r="673" spans="1:10" x14ac:dyDescent="0.3">
      <c r="B673" s="4"/>
      <c r="I673" s="3"/>
      <c r="J673" s="1"/>
    </row>
    <row r="674" spans="1:10" x14ac:dyDescent="0.3">
      <c r="B674" s="4"/>
      <c r="I674" s="3"/>
      <c r="J674" s="1"/>
    </row>
    <row r="675" spans="1:10" x14ac:dyDescent="0.3">
      <c r="B675" s="4"/>
      <c r="I675" s="3"/>
      <c r="J675" s="1"/>
    </row>
    <row r="676" spans="1:10" x14ac:dyDescent="0.3">
      <c r="B676" s="4"/>
      <c r="I676" s="3"/>
      <c r="J676" s="1"/>
    </row>
    <row r="677" spans="1:10" x14ac:dyDescent="0.3">
      <c r="A677" t="s">
        <v>0</v>
      </c>
      <c r="B677" s="4"/>
      <c r="I677" s="3"/>
      <c r="J677" s="1"/>
    </row>
    <row r="678" spans="1:10" x14ac:dyDescent="0.3">
      <c r="B678" s="4"/>
      <c r="I678" s="3"/>
      <c r="J678" s="1"/>
    </row>
    <row r="679" spans="1:10" x14ac:dyDescent="0.3">
      <c r="B679" s="4"/>
      <c r="I679" s="3"/>
      <c r="J679" s="1"/>
    </row>
    <row r="680" spans="1:10" x14ac:dyDescent="0.3">
      <c r="B680" s="4"/>
      <c r="I680" s="3"/>
      <c r="J680" s="1"/>
    </row>
    <row r="681" spans="1:10" x14ac:dyDescent="0.3">
      <c r="B681" s="4"/>
      <c r="I681" s="3"/>
      <c r="J681" s="1"/>
    </row>
    <row r="682" spans="1:10" x14ac:dyDescent="0.3">
      <c r="B682" s="4"/>
      <c r="I682" s="3"/>
      <c r="J682" s="1"/>
    </row>
    <row r="683" spans="1:10" x14ac:dyDescent="0.3">
      <c r="A683" t="s">
        <v>0</v>
      </c>
      <c r="B683" s="4"/>
      <c r="I683" s="3"/>
      <c r="J683" s="1"/>
    </row>
    <row r="684" spans="1:10" x14ac:dyDescent="0.3">
      <c r="B684" s="4"/>
      <c r="I684" s="3"/>
      <c r="J684" s="1"/>
    </row>
    <row r="685" spans="1:10" x14ac:dyDescent="0.3">
      <c r="B685" s="4"/>
      <c r="I685" s="3"/>
      <c r="J685" s="1"/>
    </row>
    <row r="686" spans="1:10" x14ac:dyDescent="0.3">
      <c r="B686" s="4"/>
      <c r="I686" s="3"/>
      <c r="J686" s="1"/>
    </row>
    <row r="687" spans="1:10" x14ac:dyDescent="0.3">
      <c r="B687" s="4"/>
      <c r="I687" s="3"/>
      <c r="J687" s="1"/>
    </row>
    <row r="688" spans="1:10" x14ac:dyDescent="0.3">
      <c r="B688" s="4"/>
      <c r="I688" s="3"/>
      <c r="J688" s="1"/>
    </row>
    <row r="689" spans="1:10" x14ac:dyDescent="0.3">
      <c r="A689" t="s">
        <v>0</v>
      </c>
      <c r="B689" s="4"/>
      <c r="I689" s="3"/>
      <c r="J689" s="1"/>
    </row>
    <row r="690" spans="1:10" x14ac:dyDescent="0.3">
      <c r="B690" s="4"/>
      <c r="I690" s="3"/>
      <c r="J690" s="1"/>
    </row>
    <row r="691" spans="1:10" x14ac:dyDescent="0.3">
      <c r="B691" s="4"/>
      <c r="I691" s="3"/>
      <c r="J691" s="1"/>
    </row>
    <row r="692" spans="1:10" x14ac:dyDescent="0.3">
      <c r="B692" s="4"/>
      <c r="I692" s="3"/>
      <c r="J692" s="1"/>
    </row>
    <row r="693" spans="1:10" x14ac:dyDescent="0.3">
      <c r="B693" s="4"/>
      <c r="I693" s="3"/>
      <c r="J693" s="1"/>
    </row>
    <row r="694" spans="1:10" x14ac:dyDescent="0.3">
      <c r="B694" s="4"/>
      <c r="I694" s="3"/>
      <c r="J694" s="1"/>
    </row>
    <row r="695" spans="1:10" x14ac:dyDescent="0.3">
      <c r="A695" t="s">
        <v>0</v>
      </c>
      <c r="B695" s="4"/>
      <c r="I695" s="3"/>
      <c r="J695" s="1"/>
    </row>
    <row r="696" spans="1:10" x14ac:dyDescent="0.3">
      <c r="B696" s="4"/>
      <c r="I696" s="3"/>
      <c r="J696" s="1"/>
    </row>
    <row r="697" spans="1:10" x14ac:dyDescent="0.3">
      <c r="B697" s="4"/>
      <c r="I697" s="3"/>
      <c r="J697" s="1"/>
    </row>
    <row r="698" spans="1:10" x14ac:dyDescent="0.3">
      <c r="B698" s="4"/>
      <c r="I698" s="3"/>
      <c r="J698" s="1"/>
    </row>
    <row r="699" spans="1:10" x14ac:dyDescent="0.3">
      <c r="B699" s="4"/>
      <c r="I699" s="3"/>
      <c r="J699" s="1"/>
    </row>
    <row r="700" spans="1:10" x14ac:dyDescent="0.3">
      <c r="B700" s="4"/>
      <c r="I700" s="3"/>
      <c r="J700" s="1"/>
    </row>
    <row r="701" spans="1:10" x14ac:dyDescent="0.3">
      <c r="A701" t="s">
        <v>0</v>
      </c>
      <c r="B701" s="4"/>
      <c r="I701" s="3"/>
      <c r="J701" s="1"/>
    </row>
    <row r="702" spans="1:10" x14ac:dyDescent="0.3">
      <c r="B702" s="4"/>
      <c r="I702" s="3"/>
      <c r="J702" s="1"/>
    </row>
    <row r="703" spans="1:10" x14ac:dyDescent="0.3">
      <c r="B703" s="4"/>
      <c r="I703" s="3"/>
      <c r="J703" s="1"/>
    </row>
    <row r="704" spans="1:10" x14ac:dyDescent="0.3">
      <c r="B704" s="4"/>
      <c r="I704" s="3"/>
      <c r="J704" s="1"/>
    </row>
    <row r="705" spans="1:10" x14ac:dyDescent="0.3">
      <c r="B705" s="4"/>
      <c r="I705" s="3"/>
      <c r="J705" s="1"/>
    </row>
    <row r="706" spans="1:10" x14ac:dyDescent="0.3">
      <c r="B706" s="4"/>
      <c r="I706" s="3"/>
      <c r="J706" s="1"/>
    </row>
    <row r="707" spans="1:10" x14ac:dyDescent="0.3">
      <c r="A707" t="s">
        <v>0</v>
      </c>
      <c r="B707" s="4"/>
      <c r="I707" s="3"/>
      <c r="J707" s="1"/>
    </row>
    <row r="708" spans="1:10" x14ac:dyDescent="0.3">
      <c r="B708" s="4"/>
      <c r="I708" s="3"/>
      <c r="J708" s="1"/>
    </row>
    <row r="709" spans="1:10" x14ac:dyDescent="0.3">
      <c r="B709" s="4"/>
      <c r="I709" s="3"/>
      <c r="J709" s="1"/>
    </row>
    <row r="710" spans="1:10" x14ac:dyDescent="0.3">
      <c r="B710" s="4"/>
      <c r="I710" s="3"/>
      <c r="J710" s="1"/>
    </row>
    <row r="711" spans="1:10" x14ac:dyDescent="0.3">
      <c r="B711" s="4"/>
      <c r="I711" s="3"/>
      <c r="J711" s="1"/>
    </row>
    <row r="712" spans="1:10" x14ac:dyDescent="0.3">
      <c r="B712" s="4"/>
      <c r="I712" s="3"/>
      <c r="J712" s="1"/>
    </row>
    <row r="713" spans="1:10" x14ac:dyDescent="0.3">
      <c r="B713" s="4"/>
      <c r="I713" s="3"/>
      <c r="J713" s="1"/>
    </row>
    <row r="714" spans="1:10" x14ac:dyDescent="0.3">
      <c r="B714" s="4"/>
      <c r="I714" s="3"/>
      <c r="J714" s="1"/>
    </row>
    <row r="715" spans="1:10" x14ac:dyDescent="0.3">
      <c r="B715" s="4"/>
      <c r="I715" s="3"/>
      <c r="J715" s="1"/>
    </row>
    <row r="716" spans="1:10" x14ac:dyDescent="0.3">
      <c r="B716" s="4"/>
      <c r="I716" s="3"/>
      <c r="J716" s="1"/>
    </row>
    <row r="717" spans="1:10" x14ac:dyDescent="0.3">
      <c r="B717" s="4"/>
      <c r="I717" s="3"/>
      <c r="J717" s="1"/>
    </row>
    <row r="718" spans="1:10" x14ac:dyDescent="0.3">
      <c r="B718" s="4"/>
      <c r="I718" s="3"/>
      <c r="J718" s="1"/>
    </row>
    <row r="719" spans="1:10" x14ac:dyDescent="0.3">
      <c r="B719" s="4"/>
      <c r="I719" s="3"/>
      <c r="J719" s="1"/>
    </row>
    <row r="720" spans="1:10" x14ac:dyDescent="0.3">
      <c r="B720" s="4"/>
      <c r="I720" s="3"/>
      <c r="J720" s="1"/>
    </row>
    <row r="721" spans="1:10" x14ac:dyDescent="0.3">
      <c r="B721" s="4"/>
      <c r="I721" s="3"/>
      <c r="J721" s="1"/>
    </row>
    <row r="722" spans="1:10" x14ac:dyDescent="0.3">
      <c r="B722" s="4"/>
      <c r="I722" s="3"/>
      <c r="J722" s="1"/>
    </row>
    <row r="723" spans="1:10" x14ac:dyDescent="0.3">
      <c r="B723" s="4"/>
      <c r="I723" s="3"/>
      <c r="J723" s="1"/>
    </row>
    <row r="724" spans="1:10" x14ac:dyDescent="0.3">
      <c r="B724" s="4"/>
      <c r="I724" s="3"/>
      <c r="J724" s="1"/>
    </row>
    <row r="725" spans="1:10" x14ac:dyDescent="0.3">
      <c r="B725" s="4"/>
      <c r="I725" s="3"/>
      <c r="J725" s="1"/>
    </row>
    <row r="726" spans="1:10" x14ac:dyDescent="0.3">
      <c r="B726" s="4"/>
      <c r="I726" s="3"/>
      <c r="J726" s="1"/>
    </row>
    <row r="727" spans="1:10" x14ac:dyDescent="0.3">
      <c r="B727" s="4"/>
      <c r="I727" s="3"/>
      <c r="J727" s="1"/>
    </row>
    <row r="728" spans="1:10" x14ac:dyDescent="0.3">
      <c r="B728" s="4"/>
      <c r="I728" s="3"/>
      <c r="J728" s="1"/>
    </row>
    <row r="729" spans="1:10" x14ac:dyDescent="0.3">
      <c r="B729" s="4"/>
      <c r="I729" s="3"/>
      <c r="J729" s="1"/>
    </row>
    <row r="730" spans="1:10" x14ac:dyDescent="0.3">
      <c r="B730" s="4"/>
      <c r="I730" s="3"/>
      <c r="J730" s="1"/>
    </row>
    <row r="731" spans="1:10" x14ac:dyDescent="0.3">
      <c r="A731" t="s">
        <v>0</v>
      </c>
      <c r="B731" s="4"/>
      <c r="I731" s="3"/>
      <c r="J731" s="1"/>
    </row>
    <row r="732" spans="1:10" x14ac:dyDescent="0.3">
      <c r="B732" s="4"/>
      <c r="I732" s="3"/>
      <c r="J732" s="1"/>
    </row>
    <row r="733" spans="1:10" x14ac:dyDescent="0.3">
      <c r="B733" s="4"/>
      <c r="I733" s="3"/>
      <c r="J733" s="1"/>
    </row>
    <row r="734" spans="1:10" x14ac:dyDescent="0.3">
      <c r="B734" s="4"/>
      <c r="I734" s="3"/>
      <c r="J734" s="1"/>
    </row>
    <row r="735" spans="1:10" x14ac:dyDescent="0.3">
      <c r="B735" s="4"/>
      <c r="I735" s="3"/>
      <c r="J735" s="1"/>
    </row>
    <row r="736" spans="1:10" x14ac:dyDescent="0.3">
      <c r="B736" s="4"/>
      <c r="I736" s="3"/>
      <c r="J736" s="1"/>
    </row>
    <row r="737" spans="1:10" x14ac:dyDescent="0.3">
      <c r="B737" s="4"/>
      <c r="I737" s="3"/>
      <c r="J737" s="1"/>
    </row>
    <row r="738" spans="1:10" x14ac:dyDescent="0.3">
      <c r="B738" s="4"/>
      <c r="I738" s="3"/>
      <c r="J738" s="1"/>
    </row>
    <row r="739" spans="1:10" x14ac:dyDescent="0.3">
      <c r="B739" s="4"/>
      <c r="I739" s="3"/>
      <c r="J739" s="1"/>
    </row>
    <row r="740" spans="1:10" x14ac:dyDescent="0.3">
      <c r="B740" s="4"/>
      <c r="I740" s="3"/>
      <c r="J740" s="1"/>
    </row>
    <row r="741" spans="1:10" x14ac:dyDescent="0.3">
      <c r="B741" s="4"/>
      <c r="I741" s="3"/>
      <c r="J741" s="1"/>
    </row>
    <row r="742" spans="1:10" x14ac:dyDescent="0.3">
      <c r="B742" s="4"/>
      <c r="I742" s="3"/>
      <c r="J742" s="1"/>
    </row>
    <row r="743" spans="1:10" x14ac:dyDescent="0.3">
      <c r="B743" s="4"/>
      <c r="I743" s="3"/>
      <c r="J743" s="1"/>
    </row>
    <row r="744" spans="1:10" x14ac:dyDescent="0.3">
      <c r="B744" s="4"/>
      <c r="I744" s="3"/>
      <c r="J744" s="1"/>
    </row>
    <row r="745" spans="1:10" x14ac:dyDescent="0.3">
      <c r="B745" s="4"/>
      <c r="I745" s="3"/>
      <c r="J745" s="1"/>
    </row>
    <row r="746" spans="1:10" x14ac:dyDescent="0.3">
      <c r="B746" s="4"/>
      <c r="I746" s="3"/>
      <c r="J746" s="1"/>
    </row>
    <row r="747" spans="1:10" x14ac:dyDescent="0.3">
      <c r="B747" s="4"/>
      <c r="I747" s="3"/>
      <c r="J747" s="1"/>
    </row>
    <row r="748" spans="1:10" x14ac:dyDescent="0.3">
      <c r="B748" s="4"/>
      <c r="I748" s="3"/>
      <c r="J748" s="1"/>
    </row>
    <row r="749" spans="1:10" x14ac:dyDescent="0.3">
      <c r="A749" t="s">
        <v>0</v>
      </c>
      <c r="B749" s="4"/>
      <c r="I749" s="3"/>
      <c r="J749" s="1"/>
    </row>
    <row r="750" spans="1:10" x14ac:dyDescent="0.3">
      <c r="B750" s="4"/>
      <c r="I750" s="3"/>
      <c r="J750" s="1"/>
    </row>
    <row r="751" spans="1:10" x14ac:dyDescent="0.3">
      <c r="B751" s="4"/>
      <c r="I751" s="3"/>
      <c r="J751" s="1"/>
    </row>
    <row r="752" spans="1:10" x14ac:dyDescent="0.3">
      <c r="B752" s="4"/>
      <c r="I752" s="3"/>
      <c r="J752" s="1"/>
    </row>
    <row r="753" spans="2:10" x14ac:dyDescent="0.3">
      <c r="B753" s="4"/>
      <c r="I753" s="3"/>
      <c r="J753" s="1"/>
    </row>
    <row r="754" spans="2:10" x14ac:dyDescent="0.3">
      <c r="B754" s="4"/>
      <c r="I754" s="3"/>
      <c r="J754" s="1"/>
    </row>
    <row r="755" spans="2:10" x14ac:dyDescent="0.3">
      <c r="B755" s="4"/>
      <c r="I755" s="3"/>
      <c r="J755" s="1"/>
    </row>
    <row r="756" spans="2:10" x14ac:dyDescent="0.3">
      <c r="B756" s="4"/>
      <c r="I756" s="3"/>
      <c r="J756" s="1"/>
    </row>
    <row r="757" spans="2:10" x14ac:dyDescent="0.3">
      <c r="B757" s="4"/>
      <c r="I757" s="3"/>
      <c r="J757" s="1"/>
    </row>
    <row r="758" spans="2:10" x14ac:dyDescent="0.3">
      <c r="B758" s="4"/>
      <c r="I758" s="3"/>
      <c r="J758" s="1"/>
    </row>
    <row r="759" spans="2:10" x14ac:dyDescent="0.3">
      <c r="B759" s="4"/>
      <c r="I759" s="3"/>
      <c r="J759" s="1"/>
    </row>
    <row r="760" spans="2:10" x14ac:dyDescent="0.3">
      <c r="B760" s="4"/>
      <c r="I760" s="3"/>
      <c r="J760" s="1"/>
    </row>
    <row r="761" spans="2:10" x14ac:dyDescent="0.3">
      <c r="B761" s="4"/>
      <c r="I761" s="3"/>
      <c r="J761" s="1"/>
    </row>
    <row r="762" spans="2:10" x14ac:dyDescent="0.3">
      <c r="B762" s="4"/>
      <c r="I762" s="3"/>
      <c r="J762" s="1"/>
    </row>
    <row r="763" spans="2:10" x14ac:dyDescent="0.3">
      <c r="B763" s="4"/>
      <c r="I763" s="3"/>
      <c r="J763" s="1"/>
    </row>
    <row r="764" spans="2:10" x14ac:dyDescent="0.3">
      <c r="B764" s="4"/>
      <c r="I764" s="3"/>
      <c r="J764" s="1"/>
    </row>
    <row r="765" spans="2:10" x14ac:dyDescent="0.3">
      <c r="B765" s="4"/>
      <c r="I765" s="3"/>
      <c r="J765" s="1"/>
    </row>
    <row r="766" spans="2:10" x14ac:dyDescent="0.3">
      <c r="B766" s="4"/>
      <c r="I766" s="3"/>
      <c r="J766" s="1"/>
    </row>
    <row r="767" spans="2:10" x14ac:dyDescent="0.3">
      <c r="B767" s="4"/>
      <c r="I767" s="3"/>
      <c r="J767" s="1"/>
    </row>
    <row r="768" spans="2:10" x14ac:dyDescent="0.3">
      <c r="B768" s="4"/>
      <c r="I768" s="3"/>
      <c r="J768" s="1"/>
    </row>
    <row r="769" spans="2:10" x14ac:dyDescent="0.3">
      <c r="B769" s="4"/>
      <c r="I769" s="3"/>
      <c r="J769" s="1"/>
    </row>
    <row r="770" spans="2:10" x14ac:dyDescent="0.3">
      <c r="B770" s="4"/>
      <c r="I770" s="3"/>
      <c r="J770" s="1"/>
    </row>
    <row r="771" spans="2:10" x14ac:dyDescent="0.3">
      <c r="B771" s="4"/>
      <c r="I771" s="3"/>
      <c r="J771" s="1"/>
    </row>
    <row r="772" spans="2:10" x14ac:dyDescent="0.3">
      <c r="B772" s="4"/>
      <c r="I772" s="3"/>
      <c r="J772" s="1"/>
    </row>
    <row r="773" spans="2:10" x14ac:dyDescent="0.3">
      <c r="B773" s="4"/>
      <c r="I773" s="3"/>
      <c r="J773" s="1"/>
    </row>
    <row r="774" spans="2:10" x14ac:dyDescent="0.3">
      <c r="B774" s="4"/>
      <c r="I774" s="3"/>
      <c r="J774" s="1"/>
    </row>
    <row r="775" spans="2:10" x14ac:dyDescent="0.3">
      <c r="B775" s="4"/>
      <c r="I775" s="3"/>
      <c r="J775" s="1"/>
    </row>
    <row r="776" spans="2:10" x14ac:dyDescent="0.3">
      <c r="B776" s="4"/>
      <c r="I776" s="3"/>
      <c r="J776" s="1"/>
    </row>
    <row r="777" spans="2:10" x14ac:dyDescent="0.3">
      <c r="B777" s="4"/>
      <c r="I777" s="3"/>
      <c r="J777" s="1"/>
    </row>
    <row r="778" spans="2:10" x14ac:dyDescent="0.3">
      <c r="B778" s="4"/>
      <c r="I778" s="3"/>
      <c r="J778" s="1"/>
    </row>
    <row r="779" spans="2:10" x14ac:dyDescent="0.3">
      <c r="B779" s="4"/>
      <c r="I779" s="3"/>
      <c r="J779" s="1"/>
    </row>
    <row r="780" spans="2:10" x14ac:dyDescent="0.3">
      <c r="B780" s="4"/>
      <c r="I780" s="3"/>
      <c r="J780" s="1"/>
    </row>
    <row r="781" spans="2:10" x14ac:dyDescent="0.3">
      <c r="B781" s="4"/>
      <c r="I781" s="3"/>
      <c r="J781" s="1"/>
    </row>
    <row r="782" spans="2:10" x14ac:dyDescent="0.3">
      <c r="B782" s="4"/>
      <c r="I782" s="3"/>
      <c r="J782" s="1"/>
    </row>
    <row r="783" spans="2:10" x14ac:dyDescent="0.3">
      <c r="B783" s="4"/>
      <c r="I783" s="3"/>
      <c r="J783" s="1"/>
    </row>
    <row r="784" spans="2:10" x14ac:dyDescent="0.3">
      <c r="B784" s="4"/>
      <c r="I784" s="3"/>
      <c r="J784" s="1"/>
    </row>
    <row r="785" spans="2:10" x14ac:dyDescent="0.3">
      <c r="I785" s="3"/>
      <c r="J785" s="1"/>
    </row>
    <row r="786" spans="2:10" x14ac:dyDescent="0.3">
      <c r="B786" s="4"/>
      <c r="I786" s="3"/>
      <c r="J786" s="1"/>
    </row>
    <row r="787" spans="2:10" x14ac:dyDescent="0.3">
      <c r="B787" s="4"/>
      <c r="I787" s="3"/>
      <c r="J787" s="1"/>
    </row>
    <row r="788" spans="2:10" x14ac:dyDescent="0.3">
      <c r="B788" s="4"/>
      <c r="I788" s="3"/>
      <c r="J788" s="1"/>
    </row>
    <row r="789" spans="2:10" x14ac:dyDescent="0.3">
      <c r="B789" s="4"/>
      <c r="I789" s="3"/>
      <c r="J789" s="1"/>
    </row>
    <row r="790" spans="2:10" x14ac:dyDescent="0.3">
      <c r="B790" s="4"/>
      <c r="I790" s="3"/>
      <c r="J790" s="1"/>
    </row>
    <row r="791" spans="2:10" x14ac:dyDescent="0.3">
      <c r="B791" s="4"/>
      <c r="I791" s="3"/>
      <c r="J791" s="1"/>
    </row>
    <row r="792" spans="2:10" x14ac:dyDescent="0.3">
      <c r="B792" s="4"/>
      <c r="I792" s="3"/>
      <c r="J792" s="1"/>
    </row>
    <row r="793" spans="2:10" x14ac:dyDescent="0.3">
      <c r="B793" s="4"/>
      <c r="I793" s="3"/>
      <c r="J793" s="1"/>
    </row>
    <row r="794" spans="2:10" x14ac:dyDescent="0.3">
      <c r="B794" s="4"/>
      <c r="I794" s="3"/>
      <c r="J794" s="1"/>
    </row>
    <row r="795" spans="2:10" x14ac:dyDescent="0.3">
      <c r="B795" s="4"/>
      <c r="I795" s="3"/>
      <c r="J795" s="1"/>
    </row>
    <row r="796" spans="2:10" x14ac:dyDescent="0.3">
      <c r="B796" s="4"/>
      <c r="I796" s="3"/>
      <c r="J796" s="1"/>
    </row>
    <row r="797" spans="2:10" x14ac:dyDescent="0.3">
      <c r="B797" s="4"/>
      <c r="G797" s="4"/>
      <c r="I797" s="3"/>
      <c r="J797" s="1"/>
    </row>
    <row r="798" spans="2:10" x14ac:dyDescent="0.3">
      <c r="B798" s="4"/>
      <c r="I798" s="3"/>
      <c r="J798" s="1"/>
    </row>
    <row r="799" spans="2:10" x14ac:dyDescent="0.3">
      <c r="B799" s="4"/>
      <c r="I799" s="3"/>
      <c r="J799" s="1"/>
    </row>
    <row r="800" spans="2:10" x14ac:dyDescent="0.3">
      <c r="B800" s="4"/>
      <c r="I800" s="3"/>
      <c r="J800" s="1"/>
    </row>
    <row r="801" spans="2:10" x14ac:dyDescent="0.3">
      <c r="B801" s="4"/>
      <c r="I801" s="3"/>
      <c r="J801" s="1"/>
    </row>
    <row r="802" spans="2:10" x14ac:dyDescent="0.3">
      <c r="B802" s="4"/>
      <c r="I802" s="3"/>
      <c r="J802" s="1"/>
    </row>
    <row r="803" spans="2:10" x14ac:dyDescent="0.3">
      <c r="B803" s="4"/>
      <c r="I803" s="3"/>
      <c r="J803" s="1"/>
    </row>
    <row r="804" spans="2:10" x14ac:dyDescent="0.3">
      <c r="B804" s="4"/>
      <c r="I804" s="3"/>
      <c r="J804" s="1"/>
    </row>
    <row r="805" spans="2:10" x14ac:dyDescent="0.3">
      <c r="B805" s="4"/>
      <c r="I805" s="3"/>
      <c r="J805" s="1"/>
    </row>
    <row r="806" spans="2:10" x14ac:dyDescent="0.3">
      <c r="B806" s="4"/>
      <c r="I806" s="3"/>
      <c r="J806" s="1"/>
    </row>
    <row r="807" spans="2:10" x14ac:dyDescent="0.3">
      <c r="B807" s="4"/>
      <c r="I807" s="3"/>
      <c r="J807" s="1"/>
    </row>
    <row r="808" spans="2:10" x14ac:dyDescent="0.3">
      <c r="B808" s="4"/>
      <c r="I808" s="3"/>
      <c r="J808" s="1"/>
    </row>
    <row r="809" spans="2:10" x14ac:dyDescent="0.3">
      <c r="B809" s="4"/>
      <c r="I809" s="3"/>
      <c r="J809" s="1"/>
    </row>
    <row r="810" spans="2:10" x14ac:dyDescent="0.3">
      <c r="B810" s="4"/>
      <c r="I810" s="3"/>
      <c r="J810" s="1"/>
    </row>
    <row r="811" spans="2:10" x14ac:dyDescent="0.3">
      <c r="B811" s="4"/>
      <c r="I811" s="3"/>
      <c r="J811" s="1"/>
    </row>
    <row r="812" spans="2:10" x14ac:dyDescent="0.3">
      <c r="B812" s="4"/>
      <c r="I812" s="3"/>
      <c r="J812" s="1"/>
    </row>
    <row r="813" spans="2:10" x14ac:dyDescent="0.3">
      <c r="B813" s="4"/>
      <c r="I813" s="3"/>
      <c r="J813" s="1"/>
    </row>
    <row r="814" spans="2:10" x14ac:dyDescent="0.3">
      <c r="B814" s="4"/>
      <c r="I814" s="3"/>
      <c r="J814" s="1"/>
    </row>
    <row r="815" spans="2:10" x14ac:dyDescent="0.3">
      <c r="B815" s="4"/>
      <c r="I815" s="3"/>
      <c r="J815" s="1"/>
    </row>
    <row r="816" spans="2:10" x14ac:dyDescent="0.3">
      <c r="B816" s="4"/>
      <c r="I816" s="3"/>
      <c r="J816" s="1"/>
    </row>
    <row r="817" spans="2:10" x14ac:dyDescent="0.3">
      <c r="B817" s="4"/>
      <c r="I817" s="3"/>
      <c r="J817" s="1"/>
    </row>
    <row r="818" spans="2:10" x14ac:dyDescent="0.3">
      <c r="B818" s="4"/>
      <c r="I818" s="3"/>
      <c r="J818" s="1"/>
    </row>
    <row r="819" spans="2:10" x14ac:dyDescent="0.3">
      <c r="B819" s="4"/>
      <c r="I819" s="3"/>
      <c r="J819" s="1"/>
    </row>
    <row r="820" spans="2:10" x14ac:dyDescent="0.3">
      <c r="B820" s="4"/>
      <c r="I820" s="3"/>
      <c r="J820" s="1"/>
    </row>
    <row r="821" spans="2:10" x14ac:dyDescent="0.3">
      <c r="B821" s="4"/>
      <c r="I821" s="3"/>
      <c r="J821" s="1"/>
    </row>
    <row r="822" spans="2:10" x14ac:dyDescent="0.3">
      <c r="B822" s="4"/>
      <c r="I822" s="3"/>
      <c r="J822" s="1"/>
    </row>
    <row r="823" spans="2:10" x14ac:dyDescent="0.3">
      <c r="B823" s="4"/>
      <c r="I823" s="3"/>
      <c r="J823" s="1"/>
    </row>
    <row r="824" spans="2:10" x14ac:dyDescent="0.3">
      <c r="B824" s="4"/>
      <c r="I824" s="3"/>
      <c r="J824" s="1"/>
    </row>
  </sheetData>
  <mergeCells count="2">
    <mergeCell ref="B1:J2"/>
    <mergeCell ref="M1:S2"/>
  </mergeCells>
  <phoneticPr fontId="3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Gregorio, Alma</dc:creator>
  <cp:lastModifiedBy>Gregorio, Alma</cp:lastModifiedBy>
  <dcterms:created xsi:type="dcterms:W3CDTF">2026-04-26T20:21:46Z</dcterms:created>
  <dcterms:modified xsi:type="dcterms:W3CDTF">2026-09-08T14:14:34Z</dcterms:modified>
</cp:coreProperties>
</file>