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15D6CB46-623B-4264-B4F4-8E4D5E80782D}" xr6:coauthVersionLast="47" xr6:coauthVersionMax="47" xr10:uidLastSave="{00000000-0000-0000-0000-000000000000}"/>
  <bookViews>
    <workbookView xWindow="11424" yWindow="0" windowWidth="11712" windowHeight="1233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DATOS'!$B$4:$J$135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/>
  <c r="N141" i="1"/>
  <c r="N138" i="1"/>
  <c r="N139" i="1"/>
  <c r="N135" i="1"/>
  <c r="N136" i="1"/>
  <c r="N137" i="1"/>
  <c r="N130" i="1"/>
  <c r="N131" i="1"/>
  <c r="N132" i="1"/>
  <c r="N133" i="1"/>
  <c r="N134" i="1"/>
  <c r="N129" i="1"/>
  <c r="N128" i="1"/>
  <c r="N127" i="1"/>
  <c r="N126" i="1"/>
  <c r="N125" i="1"/>
  <c r="N124" i="1"/>
  <c r="C134" i="1"/>
  <c r="C135" i="1"/>
  <c r="I134" i="1"/>
  <c r="J134" i="1" s="1"/>
  <c r="K134" i="1" s="1"/>
  <c r="I135" i="1"/>
  <c r="J135" i="1"/>
  <c r="K135" i="1" s="1"/>
  <c r="C128" i="1"/>
  <c r="C129" i="1"/>
  <c r="C130" i="1"/>
  <c r="C131" i="1"/>
  <c r="C132" i="1"/>
  <c r="C133" i="1"/>
  <c r="I128" i="1"/>
  <c r="J128" i="1" s="1"/>
  <c r="K128" i="1" s="1"/>
  <c r="I129" i="1"/>
  <c r="J129" i="1" s="1"/>
  <c r="K129" i="1" s="1"/>
  <c r="I130" i="1"/>
  <c r="J130" i="1" s="1"/>
  <c r="K130" i="1" s="1"/>
  <c r="I131" i="1"/>
  <c r="J131" i="1" s="1"/>
  <c r="K131" i="1" s="1"/>
  <c r="I132" i="1"/>
  <c r="J132" i="1" s="1"/>
  <c r="K132" i="1" s="1"/>
  <c r="I133" i="1"/>
  <c r="J133" i="1" s="1"/>
  <c r="K133" i="1" s="1"/>
  <c r="C121" i="1"/>
  <c r="C122" i="1"/>
  <c r="C123" i="1"/>
  <c r="C124" i="1"/>
  <c r="C125" i="1"/>
  <c r="C126" i="1"/>
  <c r="C127" i="1"/>
  <c r="I121" i="1"/>
  <c r="J121" i="1" s="1"/>
  <c r="K121" i="1" s="1"/>
  <c r="I122" i="1"/>
  <c r="J122" i="1" s="1"/>
  <c r="K122" i="1" s="1"/>
  <c r="I123" i="1"/>
  <c r="J123" i="1" s="1"/>
  <c r="K123" i="1" s="1"/>
  <c r="I124" i="1"/>
  <c r="J124" i="1" s="1"/>
  <c r="K124" i="1" s="1"/>
  <c r="I125" i="1"/>
  <c r="J125" i="1" s="1"/>
  <c r="K125" i="1" s="1"/>
  <c r="I126" i="1"/>
  <c r="J126" i="1" s="1"/>
  <c r="K126" i="1" s="1"/>
  <c r="I127" i="1"/>
  <c r="J127" i="1" s="1"/>
  <c r="K127" i="1" s="1"/>
  <c r="N123" i="1"/>
  <c r="N122" i="1"/>
  <c r="N121" i="1"/>
  <c r="N120" i="1"/>
  <c r="N119" i="1"/>
  <c r="N118" i="1"/>
  <c r="N117" i="1"/>
  <c r="N116" i="1"/>
  <c r="C111" i="1"/>
  <c r="C112" i="1"/>
  <c r="C113" i="1"/>
  <c r="C114" i="1"/>
  <c r="C115" i="1"/>
  <c r="C116" i="1"/>
  <c r="C117" i="1"/>
  <c r="C118" i="1"/>
  <c r="C119" i="1"/>
  <c r="C120" i="1"/>
  <c r="I111" i="1"/>
  <c r="J111" i="1" s="1"/>
  <c r="K111" i="1" s="1"/>
  <c r="I112" i="1"/>
  <c r="J112" i="1" s="1"/>
  <c r="K112" i="1" s="1"/>
  <c r="I113" i="1"/>
  <c r="J113" i="1" s="1"/>
  <c r="K113" i="1" s="1"/>
  <c r="I114" i="1"/>
  <c r="J114" i="1" s="1"/>
  <c r="K114" i="1" s="1"/>
  <c r="I115" i="1"/>
  <c r="J115" i="1" s="1"/>
  <c r="K115" i="1" s="1"/>
  <c r="I116" i="1"/>
  <c r="J116" i="1" s="1"/>
  <c r="K116" i="1" s="1"/>
  <c r="I117" i="1"/>
  <c r="J117" i="1" s="1"/>
  <c r="K117" i="1" s="1"/>
  <c r="I118" i="1"/>
  <c r="J118" i="1" s="1"/>
  <c r="K118" i="1" s="1"/>
  <c r="I119" i="1"/>
  <c r="J119" i="1" s="1"/>
  <c r="K119" i="1" s="1"/>
  <c r="I120" i="1"/>
  <c r="J120" i="1" s="1"/>
  <c r="K120" i="1" s="1"/>
  <c r="N112" i="1"/>
  <c r="N113" i="1"/>
  <c r="N114" i="1"/>
  <c r="N11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I99" i="1"/>
  <c r="J99" i="1" s="1"/>
  <c r="K99" i="1" s="1"/>
  <c r="I100" i="1"/>
  <c r="J100" i="1" s="1"/>
  <c r="K100" i="1" s="1"/>
  <c r="I101" i="1"/>
  <c r="J101" i="1" s="1"/>
  <c r="K101" i="1" s="1"/>
  <c r="I102" i="1"/>
  <c r="J102" i="1" s="1"/>
  <c r="K102" i="1" s="1"/>
  <c r="I103" i="1"/>
  <c r="J103" i="1" s="1"/>
  <c r="K103" i="1" s="1"/>
  <c r="I104" i="1"/>
  <c r="J104" i="1" s="1"/>
  <c r="K104" i="1" s="1"/>
  <c r="I105" i="1"/>
  <c r="J105" i="1" s="1"/>
  <c r="K105" i="1" s="1"/>
  <c r="I106" i="1"/>
  <c r="J106" i="1" s="1"/>
  <c r="K106" i="1" s="1"/>
  <c r="I107" i="1"/>
  <c r="J107" i="1" s="1"/>
  <c r="K107" i="1" s="1"/>
  <c r="I108" i="1"/>
  <c r="J108" i="1" s="1"/>
  <c r="K108" i="1" s="1"/>
  <c r="I109" i="1"/>
  <c r="J109" i="1" s="1"/>
  <c r="K109" i="1" s="1"/>
  <c r="I110" i="1"/>
  <c r="J110" i="1" s="1"/>
  <c r="K110" i="1" s="1"/>
  <c r="N87" i="1"/>
  <c r="N88" i="1"/>
  <c r="N89" i="1"/>
  <c r="N90" i="1"/>
  <c r="N91" i="1"/>
  <c r="N92" i="1"/>
  <c r="N93" i="1"/>
  <c r="N94" i="1"/>
  <c r="N95" i="1"/>
  <c r="N85" i="1"/>
  <c r="N86" i="1"/>
  <c r="C98" i="1"/>
  <c r="I98" i="1"/>
  <c r="J98" i="1" s="1"/>
  <c r="K98" i="1" s="1"/>
  <c r="C91" i="1"/>
  <c r="C92" i="1"/>
  <c r="C93" i="1"/>
  <c r="C94" i="1"/>
  <c r="C95" i="1"/>
  <c r="C96" i="1"/>
  <c r="C97" i="1"/>
  <c r="I91" i="1"/>
  <c r="J91" i="1" s="1"/>
  <c r="K91" i="1" s="1"/>
  <c r="I92" i="1"/>
  <c r="J92" i="1" s="1"/>
  <c r="K92" i="1" s="1"/>
  <c r="I93" i="1"/>
  <c r="J93" i="1" s="1"/>
  <c r="K93" i="1" s="1"/>
  <c r="I94" i="1"/>
  <c r="J94" i="1" s="1"/>
  <c r="K94" i="1" s="1"/>
  <c r="I95" i="1"/>
  <c r="J95" i="1" s="1"/>
  <c r="K95" i="1" s="1"/>
  <c r="I96" i="1"/>
  <c r="J96" i="1" s="1"/>
  <c r="K96" i="1" s="1"/>
  <c r="I97" i="1"/>
  <c r="J97" i="1" s="1"/>
  <c r="K97" i="1" s="1"/>
  <c r="N84" i="1"/>
  <c r="C90" i="1"/>
  <c r="I90" i="1"/>
  <c r="J90" i="1" s="1"/>
  <c r="K90" i="1" s="1"/>
  <c r="N83" i="1"/>
  <c r="N82" i="1"/>
  <c r="C88" i="1"/>
  <c r="I88" i="1"/>
  <c r="J88" i="1" s="1"/>
  <c r="K88" i="1" s="1"/>
  <c r="N81" i="1"/>
  <c r="N80" i="1"/>
  <c r="N79" i="1"/>
  <c r="N78" i="1"/>
  <c r="N77" i="1"/>
  <c r="N76" i="1"/>
  <c r="N75" i="1"/>
  <c r="N74" i="1"/>
  <c r="N73" i="1"/>
  <c r="N72" i="1"/>
  <c r="N71" i="1"/>
  <c r="C83" i="1"/>
  <c r="C84" i="1"/>
  <c r="C85" i="1"/>
  <c r="C86" i="1"/>
  <c r="C87" i="1"/>
  <c r="C89" i="1"/>
  <c r="I83" i="1"/>
  <c r="J83" i="1" s="1"/>
  <c r="K83" i="1" s="1"/>
  <c r="I84" i="1"/>
  <c r="J84" i="1" s="1"/>
  <c r="K84" i="1" s="1"/>
  <c r="I85" i="1"/>
  <c r="J85" i="1" s="1"/>
  <c r="K85" i="1" s="1"/>
  <c r="I86" i="1"/>
  <c r="J86" i="1" s="1"/>
  <c r="K86" i="1" s="1"/>
  <c r="I87" i="1"/>
  <c r="J87" i="1" s="1"/>
  <c r="K87" i="1" s="1"/>
  <c r="I89" i="1"/>
  <c r="J89" i="1" s="1"/>
  <c r="K89" i="1" s="1"/>
  <c r="C78" i="1"/>
  <c r="C79" i="1"/>
  <c r="C80" i="1"/>
  <c r="C81" i="1"/>
  <c r="C82" i="1"/>
  <c r="I78" i="1"/>
  <c r="J78" i="1" s="1"/>
  <c r="K78" i="1" s="1"/>
  <c r="I79" i="1"/>
  <c r="J79" i="1" s="1"/>
  <c r="K79" i="1" s="1"/>
  <c r="I80" i="1"/>
  <c r="J80" i="1" s="1"/>
  <c r="K80" i="1" s="1"/>
  <c r="I81" i="1"/>
  <c r="J81" i="1" s="1"/>
  <c r="K81" i="1" s="1"/>
  <c r="I82" i="1"/>
  <c r="J82" i="1" s="1"/>
  <c r="K82" i="1" s="1"/>
  <c r="N70" i="1"/>
  <c r="C77" i="1"/>
  <c r="I77" i="1"/>
  <c r="J77" i="1" s="1"/>
  <c r="K77" i="1" s="1"/>
  <c r="C76" i="1"/>
  <c r="I76" i="1"/>
  <c r="J76" i="1" s="1"/>
  <c r="K76" i="1" s="1"/>
  <c r="N68" i="1"/>
  <c r="N69" i="1"/>
  <c r="N67" i="1" l="1"/>
  <c r="C67" i="1"/>
  <c r="C68" i="1"/>
  <c r="C69" i="1"/>
  <c r="C70" i="1"/>
  <c r="C71" i="1"/>
  <c r="C72" i="1"/>
  <c r="C73" i="1"/>
  <c r="C74" i="1"/>
  <c r="C75" i="1"/>
  <c r="I67" i="1"/>
  <c r="J67" i="1" s="1"/>
  <c r="K67" i="1" s="1"/>
  <c r="I68" i="1"/>
  <c r="J68" i="1" s="1"/>
  <c r="K68" i="1" s="1"/>
  <c r="I69" i="1"/>
  <c r="J69" i="1" s="1"/>
  <c r="K69" i="1" s="1"/>
  <c r="I70" i="1"/>
  <c r="J70" i="1" s="1"/>
  <c r="K70" i="1" s="1"/>
  <c r="I71" i="1"/>
  <c r="J71" i="1" s="1"/>
  <c r="K71" i="1" s="1"/>
  <c r="I72" i="1"/>
  <c r="J72" i="1" s="1"/>
  <c r="K72" i="1" s="1"/>
  <c r="I73" i="1"/>
  <c r="J73" i="1" s="1"/>
  <c r="K73" i="1" s="1"/>
  <c r="I74" i="1"/>
  <c r="J74" i="1" s="1"/>
  <c r="K74" i="1" s="1"/>
  <c r="I75" i="1"/>
  <c r="J75" i="1" s="1"/>
  <c r="K75" i="1" s="1"/>
  <c r="N64" i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<sst xmlns="http://schemas.openxmlformats.org/spreadsheetml/2006/main" count="514" uniqueCount="115">
  <si>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</si>
  <si>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</si>
  <si>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</si>
  <si>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</si>
  <si>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</si>
  <si>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</si>
  <si>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</si>
  <si>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</si>
  <si>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</si>
  <si>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</si>
  <si>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</si>
  <si>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</si>
  <si>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</si>
  <si>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</si>
  <si>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</si>
  <si>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</si>
  <si>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</si>
  <si>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</si>
  <si>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</si>
  <si>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</si>
  <si>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</si>
  <si>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</si>
  <si>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</si>
  <si>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</si>
  <si>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</si>
  <si>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</si>
  <si>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</si>
  <si>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</si>
  <si>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</si>
  <si>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</si>
  <si>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</si>
  <si>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</si>
  <si>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Dispensado de Grasa No Uniforme en Engrane sin NG Op.200</t>
  </si>
  <si>
    <t>Sensor no detecta mesa giratoria Op.400</t>
  </si>
  <si>
    <t>Falla en alimentador de Tornillos Op.800</t>
  </si>
  <si>
    <t>Falla de inspección visual en Mordaza Métalica sin NG Op.100</t>
  </si>
  <si>
    <t>Falla de Etiqueta por Guarda sin NG Op.300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</si>
  <si>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</si>
  <si>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</si>
  <si>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</si>
  <si>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</si>
  <si>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</si>
  <si>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</si>
  <si>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</si>
  <si>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</si>
  <si>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</si>
  <si>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</si>
  <si>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</si>
  <si>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</si>
  <si>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</si>
  <si>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</si>
  <si>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</si>
  <si>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</si>
  <si>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</si>
  <si>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</si>
  <si>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>Calibrador</t>
  </si>
  <si>
    <t>Mal ensamble por falla en detección de Elemento de compensación Op.400</t>
  </si>
  <si>
    <t>Atorramiento de pieza en Nido Op.600</t>
  </si>
  <si>
    <t>Falla de inspección visual en puntos de grasa Op.600</t>
  </si>
  <si>
    <t>Pruebas de Ruido</t>
  </si>
  <si>
    <t>Calibrador de iluminación</t>
  </si>
  <si>
    <t>Falla por mal ensamble de SAS por gravedad sin NG Op.200</t>
  </si>
  <si>
    <t>Se interrumpen cortinas de emergencia, detiene proceso Op.300</t>
  </si>
  <si>
    <t>Banda transportadora no detecta piezas, se caen Op.600</t>
  </si>
  <si>
    <t>Mal enclipsado de Spiral Op.700</t>
  </si>
  <si>
    <t>Se interrumpen cortinas de emergencia, detiene proceso Op.800</t>
  </si>
  <si>
    <t>Calibrador de Palancas</t>
  </si>
  <si>
    <t>Falla por limites en Palancas Op.Calibrador de Palancas</t>
  </si>
  <si>
    <t>Falla de sensor, no detecta pieza Op.Pruebas de Ruido</t>
  </si>
  <si>
    <t>07/09/2026</t>
  </si>
  <si>
    <t>37</t>
  </si>
  <si>
    <t>12289507</t>
  </si>
  <si>
    <t>Falla en proceso, no regresa Palanca a posición Op.Pruebas de Ruido</t>
  </si>
  <si>
    <t>No inicia secuencia Op.Pruebas de Ruido</t>
  </si>
  <si>
    <t>Calibrador de Iluminación</t>
  </si>
  <si>
    <t>No inicia secuencia Op.Calibrador de Iluminación</t>
  </si>
  <si>
    <t>Calibrador SAS1</t>
  </si>
  <si>
    <t>Calibrador SAS2</t>
  </si>
  <si>
    <t>Falla 9220.120 Op.Calibrador SAS1</t>
  </si>
  <si>
    <t>Falla 4000.130 Op.Calibrador SAS2</t>
  </si>
  <si>
    <t>Falla de inspección visual en resortes sin NG Op.100</t>
  </si>
  <si>
    <t>Mala colocación del engrane grande Op.200</t>
  </si>
  <si>
    <t>Mal ensamble de elemento de compensación en rodamiento Op.400</t>
  </si>
  <si>
    <t>No detecta el anillo metálico, falla visual de cámara</t>
  </si>
  <si>
    <t>Error de comunicación Twin Safe Op.100</t>
  </si>
  <si>
    <t>Falla en clampeo del Housing SAS Op.200</t>
  </si>
  <si>
    <t>Fractura de Rodamiento Op.400</t>
  </si>
  <si>
    <t>Falla de Inspección visual  del SCAS Op.700</t>
  </si>
  <si>
    <t>Cable Dummy con Rebaba Op.150</t>
  </si>
  <si>
    <t>Falla en altura en cable Dummy Op.200</t>
  </si>
  <si>
    <t>Falla en Sensor Z3a Op.200</t>
  </si>
  <si>
    <t>Latch no Bloquea giro en Pieza Op. EOL</t>
  </si>
  <si>
    <t>Falla 6000.001 retrabajo piezas OK Op.EOL</t>
  </si>
  <si>
    <t>Falla 2330.031 Op. EOL</t>
  </si>
  <si>
    <t>safelaunch</t>
  </si>
  <si>
    <t>Falla de inspección visual en Lectura de QR de PCB Op.200</t>
  </si>
  <si>
    <t>Falla de inspección visual en Lectura de QR de PCB Op.300</t>
  </si>
  <si>
    <t>Falla en inspección visual de Ruteo de Arnes en Palancas Op.700</t>
  </si>
  <si>
    <t>Falla 0005.005 - Mal acomodo de Etiqueta Op.Calibrador de Palancas</t>
  </si>
  <si>
    <t>Falla CALL_WAIT_MOVE_ROBOT_ONE_STEP  Op.Calibrador de Palancas</t>
  </si>
  <si>
    <t>Falla 2045 CALL_CHECK_LEVER Op.Calibrador de Palancas</t>
  </si>
  <si>
    <t>Falla 2000 GET_CUSTOMER_NO Op.Calibrador de Palancas</t>
  </si>
  <si>
    <t>Falla 2005 KOSTIA_LOGIN Op.Calibrador de Palancas</t>
  </si>
  <si>
    <t>Falla 2500  Fluctuación de señal en Palanca SBW Op.Calibrador de Palancas</t>
  </si>
  <si>
    <t>Falla 2400 Mesetas en Palanca TS Op.Calibrador de Palancas</t>
  </si>
  <si>
    <t>Falla 2110 CALL_EVAULATE_WFK_TEST Op.Pruebas de Ruido</t>
  </si>
  <si>
    <t>Falla 6100 CALL_WFK TEST Op.Pruebas de Ruido</t>
  </si>
  <si>
    <t>Call evaluate TIHB RIGHT UNLOCKING Op.Pruebas de Ruido</t>
  </si>
  <si>
    <t>Falla 3006 de comando Sleep Mode Op.Calibrador de iluminación</t>
  </si>
  <si>
    <t>Falla 3002 Falla de medición eléctrica AB1 Op.Calibrador de iluminación</t>
  </si>
  <si>
    <t>Falla 3000 Check LK Number Op.Calibrador de iluminación</t>
  </si>
  <si>
    <t>Falla 8100 Falla configuración SAS / MLX Op.Calibrador SAS2</t>
  </si>
  <si>
    <t>Falla 4015 CALL_CONNECT_KOSTIA Op.Calibrador SAS2</t>
  </si>
  <si>
    <t>Falla 7510 - Lectura de Botón Parking Op. EOL</t>
  </si>
  <si>
    <t>Falla 7000 GET_ARTICLE_NR_SCM Op. EOL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</si>
</sst>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135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141" totalsRowShown="0" headerRowDxfId="8" dataDxfId="7">
  <tableColumns count="7">
    <tableColumn id="1" xr3:uid="{D688BA2E-A64E-4433-85E0-7EDBF854AF60}" name="07/09/2026" dataDxfId="6"/>
    <tableColumn id="7" xr3:uid="{D3EA5E8D-DD68-48AC-8DAC-4A4077839479}" name="37" dataDxfId="5">
      <calculatedColumnFormula>WEEKNUM(Tabla2610[[#This Row],[07/09/2026]])</calculatedColumnFormula>
    </tableColumn>
    <tableColumn id="2" xr3:uid="{2BBDA3EE-1089-4999-82D7-821DAA1CF033}" name="SCCM MMA" dataDxfId="4"/>
    <tableColumn id="3" xr3:uid="{A327B0AF-C947-4083-8F0A-4A5908FD3558}" name="Pruebas de Ruido" dataDxfId="3"/>
    <tableColumn id="4" xr3:uid="{58C9F38E-D89E-450A-9CAA-EFCECBECC74C}" name="12289507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sheetPr codeName="Sheet1"/>
  <dimension ref="A1:V824"/>
  <sheetViews>
    <sheetView tabSelected="1" topLeftCell="P127" zoomScale="102" zoomScaleNormal="110" workbookViewId="0">
      <selection activeCell="R148" sqref="R148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22.2187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23" style="1" customWidth="1"/>
    <col min="17" max="17" width="11.77734375" style="1" bestFit="1" customWidth="1"/>
    <col min="18" max="18" width="70.21875" style="1" customWidth="1"/>
    <col min="19" max="19" width="13" style="1" bestFit="1" customWidth="1"/>
  </cols>
  <sheetData>
    <row r="1" spans="2:19" ht="14.4" customHeight="1" x14ac:dyDescent="0.3"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6"/>
      <c r="M1" s="13" t="s">
        <v>13</v>
      </c>
      <c r="N1" s="13"/>
      <c r="O1" s="13"/>
      <c r="P1" s="13"/>
      <c r="Q1" s="13"/>
      <c r="R1" s="13"/>
      <c r="S1" s="13"/>
    </row>
    <row r="2" spans="2:19" ht="14.4" customHeight="1" x14ac:dyDescent="0.3">
      <c r="B2" s="13"/>
      <c r="C2" s="13"/>
      <c r="D2" s="13"/>
      <c r="E2" s="13"/>
      <c r="F2" s="13"/>
      <c r="G2" s="13"/>
      <c r="H2" s="13"/>
      <c r="I2" s="13"/>
      <c r="J2" s="13"/>
      <c r="K2" s="6"/>
      <c r="M2" s="13"/>
      <c r="N2" s="13"/>
      <c r="O2" s="13"/>
      <c r="P2" s="13"/>
      <c r="Q2" s="13"/>
      <c r="R2" s="13"/>
      <c r="S2" s="13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4" t="s">
        <v>69</v>
      </c>
      <c r="N4" s="1" t="s">
        <v>70</v>
      </c>
      <c r="O4" s="1" t="s">
        <v>30</v>
      </c>
      <c r="P4" s="1" t="s">
        <v>59</v>
      </c>
      <c r="Q4" s="9" t="s">
        <v>71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Row],[07/09/2026]])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Row],[07/09/2026]])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Row],[07/09/2026]])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Row],[07/09/2026]])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Row],[07/09/2026]])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Row],[07/09/2026]])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Row],[07/09/2026]])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Row],[07/09/2026]])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Row],[07/09/2026]])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Row],[07/09/2026]])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Row],[07/09/2026]])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Row],[07/09/2026]])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Row],[07/09/2026]])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Row],[07/09/2026]])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Row],[07/09/2026]])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Row],[07/09/2026]])</f>
        <v>31</v>
      </c>
      <c r="O20" s="1" t="s">
        <v>30</v>
      </c>
      <c r="P20" s="1">
        <v>200</v>
      </c>
      <c r="Q20" s="9">
        <v>12289497</v>
      </c>
      <c r="R20" s="1" t="s">
        <v>40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Row],[07/09/2026]])</f>
        <v>31</v>
      </c>
      <c r="O21" s="1" t="s">
        <v>30</v>
      </c>
      <c r="P21" s="1">
        <v>200</v>
      </c>
      <c r="Q21" s="9">
        <v>12289497</v>
      </c>
      <c r="R21" s="1" t="s">
        <v>61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Row],[07/09/2026]])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Row],[07/09/2026]])</f>
        <v>31</v>
      </c>
      <c r="O23" s="1" t="s">
        <v>30</v>
      </c>
      <c r="P23" s="1">
        <v>200</v>
      </c>
      <c r="Q23" s="9">
        <v>12289497</v>
      </c>
      <c r="R23" s="1" t="s">
        <v>32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Row],[07/09/2026]])</f>
        <v>31</v>
      </c>
      <c r="O24" s="1" t="s">
        <v>30</v>
      </c>
      <c r="P24" s="1">
        <v>400</v>
      </c>
      <c r="Q24" s="9">
        <v>12289497</v>
      </c>
      <c r="R24" s="1" t="s">
        <v>33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Row],[07/09/2026]])</f>
        <v>31</v>
      </c>
      <c r="O25" s="1" t="s">
        <v>30</v>
      </c>
      <c r="P25" s="1">
        <v>700</v>
      </c>
      <c r="Q25" s="9">
        <v>12289497</v>
      </c>
      <c r="R25" s="1" t="s">
        <v>97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Row],[07/09/2026]])</f>
        <v>31</v>
      </c>
      <c r="O26" s="1" t="s">
        <v>30</v>
      </c>
      <c r="P26" s="1">
        <v>800</v>
      </c>
      <c r="Q26" s="9">
        <v>12289497</v>
      </c>
      <c r="R26" s="1" t="s">
        <v>34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Row],[07/09/2026]])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Row],[07/09/2026]])</f>
        <v>31</v>
      </c>
      <c r="O28" s="1" t="s">
        <v>30</v>
      </c>
      <c r="P28" s="1">
        <v>100</v>
      </c>
      <c r="Q28" s="9">
        <v>12289475</v>
      </c>
      <c r="R28" s="1" t="s">
        <v>35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Row],[07/09/2026]])</f>
        <v>31</v>
      </c>
      <c r="O29" s="1" t="s">
        <v>30</v>
      </c>
      <c r="P29" s="1">
        <v>300</v>
      </c>
      <c r="Q29" s="9">
        <v>12289475</v>
      </c>
      <c r="R29" s="1" t="s">
        <v>36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Row],[07/09/2026]])</f>
        <v>31</v>
      </c>
      <c r="O30" s="1" t="s">
        <v>30</v>
      </c>
      <c r="P30" s="1">
        <v>400</v>
      </c>
      <c r="Q30" s="9">
        <v>12289475</v>
      </c>
      <c r="R30" s="1" t="s">
        <v>33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Row],[07/09/2026]])</f>
        <v>31</v>
      </c>
      <c r="O31" s="1" t="s">
        <v>30</v>
      </c>
      <c r="P31" s="1">
        <v>600</v>
      </c>
      <c r="Q31" s="9">
        <v>12289475</v>
      </c>
      <c r="R31" s="1" t="s">
        <v>58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Row],[07/09/2026]])</f>
        <v>31</v>
      </c>
      <c r="O32" s="1" t="s">
        <v>30</v>
      </c>
      <c r="P32" s="1">
        <v>600</v>
      </c>
      <c r="Q32" s="9">
        <v>12289475</v>
      </c>
      <c r="R32" s="1" t="s">
        <v>37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Row],[07/09/2026]])</f>
        <v>31</v>
      </c>
      <c r="O33" s="1" t="s">
        <v>30</v>
      </c>
      <c r="P33" s="1">
        <v>700</v>
      </c>
      <c r="Q33" s="9">
        <v>12289475</v>
      </c>
      <c r="R33" s="1" t="s">
        <v>39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Row],[07/09/2026]])</f>
        <v>31</v>
      </c>
      <c r="O34" s="1" t="s">
        <v>30</v>
      </c>
      <c r="P34" s="1">
        <v>700</v>
      </c>
      <c r="Q34" s="9">
        <v>12289475</v>
      </c>
      <c r="R34" s="1" t="s">
        <v>38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Row],[07/09/2026]])</f>
        <v>32</v>
      </c>
      <c r="O35" s="1" t="s">
        <v>30</v>
      </c>
      <c r="P35" s="1">
        <v>200</v>
      </c>
      <c r="Q35" s="9">
        <v>12289497</v>
      </c>
      <c r="R35" s="1" t="s">
        <v>40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Row],[07/09/2026]])</f>
        <v>32</v>
      </c>
      <c r="O36" s="1" t="s">
        <v>30</v>
      </c>
      <c r="P36" s="1">
        <v>200</v>
      </c>
      <c r="Q36" s="9">
        <v>12289497</v>
      </c>
      <c r="R36" s="1" t="s">
        <v>41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Row],[07/09/2026]])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Row],[07/09/2026]])</f>
        <v>32</v>
      </c>
      <c r="O38" s="1" t="s">
        <v>30</v>
      </c>
      <c r="P38" s="1">
        <v>100</v>
      </c>
      <c r="Q38" s="9">
        <v>12289497</v>
      </c>
      <c r="R38" s="1" t="s">
        <v>35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Row],[07/09/2026]])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Row],[07/09/2026]])</f>
        <v>32</v>
      </c>
      <c r="O40" s="1" t="s">
        <v>30</v>
      </c>
      <c r="P40" s="1">
        <v>100</v>
      </c>
      <c r="Q40" s="9">
        <v>12289497</v>
      </c>
      <c r="R40" s="1" t="s">
        <v>35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Row],[07/09/2026]])</f>
        <v>32</v>
      </c>
      <c r="O41" s="1" t="s">
        <v>30</v>
      </c>
      <c r="P41" s="1">
        <v>500</v>
      </c>
      <c r="Q41" s="9">
        <v>12289497</v>
      </c>
      <c r="R41" s="1" t="s">
        <v>42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Row],[07/09/2026]])</f>
        <v>31</v>
      </c>
      <c r="O42" s="1" t="s">
        <v>15</v>
      </c>
      <c r="P42" s="1">
        <v>100</v>
      </c>
      <c r="Q42" s="9">
        <v>10532587</v>
      </c>
      <c r="R42" s="1" t="s">
        <v>43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Row],[07/09/2026]])</f>
        <v>31</v>
      </c>
      <c r="O43" s="1" t="s">
        <v>15</v>
      </c>
      <c r="P43" s="1">
        <v>100</v>
      </c>
      <c r="Q43" s="9">
        <v>10532587</v>
      </c>
      <c r="R43" s="1" t="s">
        <v>44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Row],[07/09/2026]])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Row],[07/09/2026]])</f>
        <v>31</v>
      </c>
      <c r="O45" s="1" t="s">
        <v>15</v>
      </c>
      <c r="P45" s="1">
        <v>200</v>
      </c>
      <c r="Q45" s="9">
        <v>10532587</v>
      </c>
      <c r="R45" s="1" t="s">
        <v>45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Row],[07/09/2026]])</f>
        <v>31</v>
      </c>
      <c r="O46" s="1" t="s">
        <v>15</v>
      </c>
      <c r="P46" s="1">
        <v>200</v>
      </c>
      <c r="Q46" s="9">
        <v>10532587</v>
      </c>
      <c r="R46" s="1" t="s">
        <v>46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Row],[07/09/2026]])</f>
        <v>31</v>
      </c>
      <c r="O47" s="1" t="s">
        <v>15</v>
      </c>
      <c r="P47" s="1">
        <v>300</v>
      </c>
      <c r="Q47" s="9">
        <v>10532587</v>
      </c>
      <c r="R47" s="1" t="s">
        <v>47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Row],[07/09/2026]])</f>
        <v>31</v>
      </c>
      <c r="O48" s="1" t="s">
        <v>15</v>
      </c>
      <c r="P48" s="1" t="s">
        <v>16</v>
      </c>
      <c r="Q48" s="9">
        <v>10532587</v>
      </c>
      <c r="R48" s="1" t="s">
        <v>48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Row],[07/09/2026]])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Row],[07/09/2026]])</f>
        <v>31</v>
      </c>
      <c r="O50" s="1" t="s">
        <v>15</v>
      </c>
      <c r="P50" s="1" t="s">
        <v>16</v>
      </c>
      <c r="Q50" s="9">
        <v>10532587</v>
      </c>
      <c r="R50" s="1" t="s">
        <v>49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Row],[07/09/2026]])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Row],[07/09/2026]])</f>
        <v>32</v>
      </c>
      <c r="O52" s="1" t="s">
        <v>15</v>
      </c>
      <c r="P52" s="1">
        <v>100</v>
      </c>
      <c r="Q52" s="9">
        <v>10532587</v>
      </c>
      <c r="R52" s="1" t="s">
        <v>50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Row],[07/09/2026]])</f>
        <v>32</v>
      </c>
      <c r="O53" s="1" t="s">
        <v>15</v>
      </c>
      <c r="P53" s="1">
        <v>100</v>
      </c>
      <c r="Q53" s="9">
        <v>10532587</v>
      </c>
      <c r="R53" s="1" t="s">
        <v>44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Row],[07/09/2026]])</f>
        <v>32</v>
      </c>
      <c r="O54" s="1" t="s">
        <v>15</v>
      </c>
      <c r="P54" s="1">
        <v>200</v>
      </c>
      <c r="Q54" s="9">
        <v>10532587</v>
      </c>
      <c r="R54" s="1" t="s">
        <v>45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Row],[07/09/2026]])</f>
        <v>32</v>
      </c>
      <c r="O55" s="1" t="s">
        <v>15</v>
      </c>
      <c r="P55" s="1">
        <v>300</v>
      </c>
      <c r="Q55" s="9">
        <v>10532587</v>
      </c>
      <c r="R55" s="1" t="s">
        <v>47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Row],[07/09/2026]])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Row],[07/09/2026]])</f>
        <v>32</v>
      </c>
      <c r="O57" s="1" t="s">
        <v>15</v>
      </c>
      <c r="P57" s="1">
        <v>300</v>
      </c>
      <c r="Q57" s="9">
        <v>10532587</v>
      </c>
      <c r="R57" s="1" t="s">
        <v>47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Row],[07/09/2026]])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Row],[07/09/2026]])</f>
        <v>32</v>
      </c>
      <c r="O59" s="1" t="s">
        <v>15</v>
      </c>
      <c r="P59" s="1" t="s">
        <v>16</v>
      </c>
      <c r="Q59" s="9">
        <v>10532587</v>
      </c>
      <c r="R59" s="1" t="s">
        <v>48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Row],[07/09/2026]])</f>
        <v>32</v>
      </c>
      <c r="O60" s="1" t="s">
        <v>15</v>
      </c>
      <c r="P60" s="1" t="s">
        <v>16</v>
      </c>
      <c r="Q60" s="9">
        <v>10532587</v>
      </c>
      <c r="R60" s="1" t="s">
        <v>51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Row],[07/09/2026]])</f>
        <v>32</v>
      </c>
      <c r="O61" s="1" t="s">
        <v>15</v>
      </c>
      <c r="P61" s="1" t="s">
        <v>16</v>
      </c>
      <c r="Q61" s="9">
        <v>10532587</v>
      </c>
      <c r="R61" s="1" t="s">
        <v>52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Row],[07/09/2026]])</f>
        <v>32</v>
      </c>
      <c r="O62" s="1" t="s">
        <v>15</v>
      </c>
      <c r="P62" s="1" t="s">
        <v>16</v>
      </c>
      <c r="Q62" s="9">
        <v>10532587</v>
      </c>
      <c r="R62" s="1" t="s">
        <v>53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Row],[07/09/2026]])</f>
        <v>32</v>
      </c>
      <c r="O63" s="1" t="s">
        <v>15</v>
      </c>
      <c r="P63" s="1" t="s">
        <v>16</v>
      </c>
      <c r="Q63" s="9">
        <v>10532587</v>
      </c>
      <c r="R63" s="1" t="s">
        <v>54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Row],[07/09/2026]])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Row],[07/09/2026]])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Row],[07/09/2026]])</f>
        <v>32</v>
      </c>
      <c r="O66" s="1" t="s">
        <v>15</v>
      </c>
      <c r="P66" s="1" t="s">
        <v>16</v>
      </c>
      <c r="Q66" s="9">
        <v>10532587</v>
      </c>
      <c r="R66" s="1" t="s">
        <v>48</v>
      </c>
      <c r="S66" s="1">
        <v>10</v>
      </c>
    </row>
    <row r="67" spans="2:19" x14ac:dyDescent="0.3">
      <c r="B67" s="4">
        <v>46269</v>
      </c>
      <c r="C67" s="1">
        <f>WEEKNUM(Tabla158[[#This Row],[Fecha]])</f>
        <v>36</v>
      </c>
      <c r="D67" s="1" t="s">
        <v>30</v>
      </c>
      <c r="E67" s="1">
        <v>100</v>
      </c>
      <c r="F67" s="9">
        <v>12289507</v>
      </c>
      <c r="G67" s="1">
        <v>15</v>
      </c>
      <c r="H67" s="1">
        <v>0</v>
      </c>
      <c r="I67" s="3">
        <f>Tabla158[[#This Row],[Piezas NOK]]/Tabla158[[#This Row],[Piezas OK]]</f>
        <v>0</v>
      </c>
      <c r="J67" s="1">
        <f t="shared" ref="J67:J75" si="9">ABS(G$3-I67)</f>
        <v>1</v>
      </c>
      <c r="K67" s="11">
        <f>Tabla158[[#This Row],[FTQ]]</f>
        <v>1</v>
      </c>
      <c r="M67" s="4">
        <v>46269</v>
      </c>
      <c r="N67" s="1">
        <f>WEEKNUM(Tabla2610[[#This Row],[07/09/2026]])</f>
        <v>36</v>
      </c>
      <c r="O67" s="1" t="s">
        <v>30</v>
      </c>
      <c r="P67" s="1">
        <v>400</v>
      </c>
      <c r="Q67" s="9">
        <v>12289507</v>
      </c>
      <c r="R67" s="1" t="s">
        <v>56</v>
      </c>
      <c r="S67" s="1">
        <v>6</v>
      </c>
    </row>
    <row r="68" spans="2:19" x14ac:dyDescent="0.3">
      <c r="B68" s="4">
        <v>46269</v>
      </c>
      <c r="C68" s="1">
        <f>WEEKNUM(Tabla158[[#This Row],[Fecha]])</f>
        <v>36</v>
      </c>
      <c r="D68" s="1" t="s">
        <v>30</v>
      </c>
      <c r="E68" s="1">
        <v>200</v>
      </c>
      <c r="F68" s="9">
        <v>12289507</v>
      </c>
      <c r="G68" s="1">
        <v>15</v>
      </c>
      <c r="H68" s="1">
        <v>0</v>
      </c>
      <c r="I68" s="3">
        <f>Tabla158[[#This Row],[Piezas NOK]]/Tabla158[[#This Row],[Piezas OK]]</f>
        <v>0</v>
      </c>
      <c r="J68" s="1">
        <f t="shared" si="9"/>
        <v>1</v>
      </c>
      <c r="K68" s="5">
        <f>Tabla158[[#This Row],[FTQ]]</f>
        <v>1</v>
      </c>
      <c r="M68" s="4">
        <v>46269</v>
      </c>
      <c r="N68" s="1">
        <f>WEEKNUM(Tabla2610[[#This Row],[07/09/2026]])</f>
        <v>36</v>
      </c>
      <c r="O68" s="1" t="s">
        <v>30</v>
      </c>
      <c r="P68" s="1">
        <v>600</v>
      </c>
      <c r="Q68" s="9">
        <v>12289507</v>
      </c>
      <c r="R68" s="1" t="s">
        <v>57</v>
      </c>
      <c r="S68" s="1">
        <v>5</v>
      </c>
    </row>
    <row r="69" spans="2:19" x14ac:dyDescent="0.3">
      <c r="B69" s="4">
        <v>46269</v>
      </c>
      <c r="C69" s="1">
        <f>WEEKNUM(Tabla158[[#This Row],[Fecha]])</f>
        <v>36</v>
      </c>
      <c r="D69" s="1" t="s">
        <v>30</v>
      </c>
      <c r="E69" s="1">
        <v>300</v>
      </c>
      <c r="F69" s="9">
        <v>12289507</v>
      </c>
      <c r="G69" s="1">
        <v>15</v>
      </c>
      <c r="H69" s="1">
        <v>0</v>
      </c>
      <c r="I69" s="3">
        <f>Tabla158[[#This Row],[Piezas NOK]]/Tabla158[[#This Row],[Piezas OK]]</f>
        <v>0</v>
      </c>
      <c r="J69" s="1">
        <f t="shared" si="9"/>
        <v>1</v>
      </c>
      <c r="K69" s="5">
        <f>Tabla158[[#This Row],[FTQ]]</f>
        <v>1</v>
      </c>
      <c r="M69" s="4">
        <v>46269</v>
      </c>
      <c r="N69" s="1">
        <f>WEEKNUM(Tabla2610[[#This Row],[07/09/2026]])</f>
        <v>36</v>
      </c>
      <c r="O69" s="1" t="s">
        <v>30</v>
      </c>
      <c r="P69" s="1">
        <v>600</v>
      </c>
      <c r="Q69" s="9">
        <v>12289507</v>
      </c>
      <c r="R69" s="1" t="s">
        <v>58</v>
      </c>
      <c r="S69" s="1">
        <v>1</v>
      </c>
    </row>
    <row r="70" spans="2:19" x14ac:dyDescent="0.3">
      <c r="B70" s="4">
        <v>46269</v>
      </c>
      <c r="C70" s="1">
        <f>WEEKNUM(Tabla158[[#This Row],[Fecha]])</f>
        <v>36</v>
      </c>
      <c r="D70" s="1" t="s">
        <v>30</v>
      </c>
      <c r="E70" s="1">
        <v>400</v>
      </c>
      <c r="F70" s="9">
        <v>12289507</v>
      </c>
      <c r="G70" s="1">
        <v>15</v>
      </c>
      <c r="H70" s="1">
        <v>6</v>
      </c>
      <c r="I70" s="3">
        <f>Tabla158[[#This Row],[Piezas NOK]]/Tabla158[[#This Row],[Piezas OK]]</f>
        <v>0.4</v>
      </c>
      <c r="J70" s="1">
        <f t="shared" si="9"/>
        <v>0.6</v>
      </c>
      <c r="K70" s="5">
        <f>Tabla158[[#This Row],[FTQ]]</f>
        <v>0.6</v>
      </c>
      <c r="M70" s="4">
        <v>46269</v>
      </c>
      <c r="N70" s="1">
        <f>WEEKNUM(Tabla2610[[#This Row],[07/09/2026]])</f>
        <v>36</v>
      </c>
      <c r="O70" s="1" t="s">
        <v>30</v>
      </c>
      <c r="P70" s="1" t="s">
        <v>59</v>
      </c>
      <c r="Q70" s="9">
        <v>12289507</v>
      </c>
      <c r="R70" s="1" t="s">
        <v>73</v>
      </c>
      <c r="S70" s="1">
        <v>9</v>
      </c>
    </row>
    <row r="71" spans="2:19" x14ac:dyDescent="0.3">
      <c r="B71" s="4">
        <v>46269</v>
      </c>
      <c r="C71" s="1">
        <f>WEEKNUM(Tabla158[[#This Row],[Fecha]])</f>
        <v>36</v>
      </c>
      <c r="D71" s="1" t="s">
        <v>30</v>
      </c>
      <c r="E71" s="1">
        <v>500</v>
      </c>
      <c r="F71" s="9">
        <v>12289507</v>
      </c>
      <c r="G71" s="1">
        <v>15</v>
      </c>
      <c r="H71" s="1">
        <v>0</v>
      </c>
      <c r="I71" s="3">
        <f>Tabla158[[#This Row],[Piezas NOK]]/Tabla158[[#This Row],[Piezas OK]]</f>
        <v>0</v>
      </c>
      <c r="J71" s="1">
        <f t="shared" si="9"/>
        <v>1</v>
      </c>
      <c r="K71" s="5">
        <f>Tabla158[[#This Row],[FTQ]]</f>
        <v>1</v>
      </c>
      <c r="M71" s="4">
        <v>46272</v>
      </c>
      <c r="N71" s="1">
        <f>WEEKNUM(Tabla2610[[#This Row],[07/09/2026]])</f>
        <v>37</v>
      </c>
      <c r="O71" s="1" t="s">
        <v>30</v>
      </c>
      <c r="P71" s="1">
        <v>200</v>
      </c>
      <c r="Q71" s="9">
        <v>12289507</v>
      </c>
      <c r="R71" s="1" t="s">
        <v>61</v>
      </c>
      <c r="S71" s="1">
        <v>15</v>
      </c>
    </row>
    <row r="72" spans="2:19" x14ac:dyDescent="0.3">
      <c r="B72" s="4">
        <v>46269</v>
      </c>
      <c r="C72" s="1">
        <f>WEEKNUM(Tabla158[[#This Row],[Fecha]])</f>
        <v>36</v>
      </c>
      <c r="D72" s="1" t="s">
        <v>30</v>
      </c>
      <c r="E72" s="1">
        <v>600</v>
      </c>
      <c r="F72" s="9">
        <v>12289507</v>
      </c>
      <c r="G72" s="1">
        <v>15</v>
      </c>
      <c r="H72" s="1">
        <v>6</v>
      </c>
      <c r="I72" s="3">
        <f>Tabla158[[#This Row],[Piezas NOK]]/Tabla158[[#This Row],[Piezas OK]]</f>
        <v>0.4</v>
      </c>
      <c r="J72" s="1">
        <f t="shared" si="9"/>
        <v>0.6</v>
      </c>
      <c r="K72" s="5">
        <f>Tabla158[[#This Row],[FTQ]]</f>
        <v>0.6</v>
      </c>
      <c r="M72" s="4">
        <v>46272</v>
      </c>
      <c r="N72" s="1">
        <f>WEEKNUM(Tabla2610[[#This Row],[07/09/2026]])</f>
        <v>37</v>
      </c>
      <c r="O72" s="1" t="s">
        <v>30</v>
      </c>
      <c r="P72" s="1">
        <v>300</v>
      </c>
      <c r="Q72" s="9">
        <v>12289507</v>
      </c>
      <c r="R72" s="1" t="s">
        <v>62</v>
      </c>
      <c r="S72" s="1">
        <v>3</v>
      </c>
    </row>
    <row r="73" spans="2:19" x14ac:dyDescent="0.3">
      <c r="B73" s="4">
        <v>46269</v>
      </c>
      <c r="C73" s="1">
        <f>WEEKNUM(Tabla158[[#This Row],[Fecha]])</f>
        <v>36</v>
      </c>
      <c r="D73" s="1" t="s">
        <v>30</v>
      </c>
      <c r="E73" s="1">
        <v>700</v>
      </c>
      <c r="F73" s="9">
        <v>12289507</v>
      </c>
      <c r="G73" s="1">
        <v>15</v>
      </c>
      <c r="H73" s="1">
        <v>0</v>
      </c>
      <c r="I73" s="3">
        <f>Tabla158[[#This Row],[Piezas NOK]]/Tabla158[[#This Row],[Piezas OK]]</f>
        <v>0</v>
      </c>
      <c r="J73" s="1">
        <f t="shared" si="9"/>
        <v>1</v>
      </c>
      <c r="K73" s="5">
        <f>Tabla158[[#This Row],[FTQ]]</f>
        <v>1</v>
      </c>
      <c r="M73" s="4">
        <v>46272</v>
      </c>
      <c r="N73" s="1">
        <f>WEEKNUM(Tabla2610[[#This Row],[07/09/2026]])</f>
        <v>37</v>
      </c>
      <c r="O73" s="1" t="s">
        <v>30</v>
      </c>
      <c r="P73" s="1">
        <v>400</v>
      </c>
      <c r="Q73" s="9">
        <v>12289507</v>
      </c>
      <c r="R73" s="1" t="s">
        <v>56</v>
      </c>
      <c r="S73" s="1">
        <v>2</v>
      </c>
    </row>
    <row r="74" spans="2:19" x14ac:dyDescent="0.3">
      <c r="B74" s="4">
        <v>46269</v>
      </c>
      <c r="C74" s="1">
        <f>WEEKNUM(Tabla158[[#This Row],[Fecha]])</f>
        <v>36</v>
      </c>
      <c r="D74" s="1" t="s">
        <v>30</v>
      </c>
      <c r="E74" s="1">
        <v>800</v>
      </c>
      <c r="F74" s="9">
        <v>12289507</v>
      </c>
      <c r="G74" s="1">
        <v>15</v>
      </c>
      <c r="H74" s="1">
        <v>0</v>
      </c>
      <c r="I74" s="3">
        <f>Tabla158[[#This Row],[Piezas NOK]]/Tabla158[[#This Row],[Piezas OK]]</f>
        <v>0</v>
      </c>
      <c r="J74" s="1">
        <f t="shared" si="9"/>
        <v>1</v>
      </c>
      <c r="K74" s="5">
        <f>Tabla158[[#This Row],[FTQ]]</f>
        <v>1</v>
      </c>
      <c r="M74" s="4">
        <v>46272</v>
      </c>
      <c r="N74" s="1">
        <f>WEEKNUM(Tabla2610[[#This Row],[07/09/2026]])</f>
        <v>37</v>
      </c>
      <c r="O74" s="1" t="s">
        <v>30</v>
      </c>
      <c r="P74" s="1">
        <v>600</v>
      </c>
      <c r="Q74" s="9">
        <v>12289507</v>
      </c>
      <c r="R74" s="1" t="s">
        <v>63</v>
      </c>
      <c r="S74" s="1">
        <v>10</v>
      </c>
    </row>
    <row r="75" spans="2:19" x14ac:dyDescent="0.3">
      <c r="B75" s="4">
        <v>46269</v>
      </c>
      <c r="C75" s="1">
        <f>WEEKNUM(Tabla158[[#This Row],[Fecha]])</f>
        <v>36</v>
      </c>
      <c r="D75" s="1" t="s">
        <v>30</v>
      </c>
      <c r="E75" s="1" t="s">
        <v>55</v>
      </c>
      <c r="F75" s="9">
        <v>12289507</v>
      </c>
      <c r="G75" s="1">
        <v>15</v>
      </c>
      <c r="H75" s="1">
        <v>0</v>
      </c>
      <c r="I75" s="3">
        <f>Tabla158[[#This Row],[Piezas NOK]]/Tabla158[[#This Row],[Piezas OK]]</f>
        <v>0</v>
      </c>
      <c r="J75" s="1">
        <f t="shared" si="9"/>
        <v>1</v>
      </c>
      <c r="K75" s="5">
        <f>Tabla158[[#This Row],[FTQ]]</f>
        <v>1</v>
      </c>
      <c r="M75" s="4">
        <v>46272</v>
      </c>
      <c r="N75" s="1">
        <f>WEEKNUM(Tabla2610[[#This Row],[07/09/2026]])</f>
        <v>37</v>
      </c>
      <c r="O75" s="1" t="s">
        <v>30</v>
      </c>
      <c r="P75" s="1">
        <v>600</v>
      </c>
      <c r="Q75" s="9">
        <v>12289507</v>
      </c>
      <c r="R75" s="1" t="s">
        <v>57</v>
      </c>
      <c r="S75" s="1">
        <v>50</v>
      </c>
    </row>
    <row r="76" spans="2:19" x14ac:dyDescent="0.3">
      <c r="B76" s="4">
        <v>46269</v>
      </c>
      <c r="C76" s="1">
        <f>WEEKNUM(Tabla158[[#This Row],[Fecha]])</f>
        <v>36</v>
      </c>
      <c r="D76" s="1" t="s">
        <v>30</v>
      </c>
      <c r="E76" s="1" t="s">
        <v>59</v>
      </c>
      <c r="F76" s="9">
        <v>12289507</v>
      </c>
      <c r="G76" s="1">
        <v>14</v>
      </c>
      <c r="H76" s="1">
        <v>9</v>
      </c>
      <c r="I76" s="3">
        <f>Tabla158[[#This Row],[Piezas NOK]]/Tabla158[[#This Row],[Piezas OK]]</f>
        <v>0.6428571428571429</v>
      </c>
      <c r="J76" s="1">
        <f>ABS(G$3-I76)</f>
        <v>0.3571428571428571</v>
      </c>
      <c r="K76" s="5">
        <f>Tabla158[[#This Row],[FTQ]]</f>
        <v>0.3571428571428571</v>
      </c>
      <c r="M76" s="4">
        <v>46272</v>
      </c>
      <c r="N76" s="1">
        <f>WEEKNUM(Tabla2610[[#This Row],[07/09/2026]])</f>
        <v>37</v>
      </c>
      <c r="O76" s="1" t="s">
        <v>30</v>
      </c>
      <c r="P76" s="1">
        <v>600</v>
      </c>
      <c r="Q76" s="9">
        <v>12289507</v>
      </c>
      <c r="R76" s="1" t="s">
        <v>58</v>
      </c>
      <c r="S76" s="1">
        <v>20</v>
      </c>
    </row>
    <row r="77" spans="2:19" x14ac:dyDescent="0.3">
      <c r="B77" s="4">
        <v>46269</v>
      </c>
      <c r="C77" s="1">
        <f>WEEKNUM(Tabla158[[#This Row],[Fecha]])</f>
        <v>36</v>
      </c>
      <c r="D77" s="1" t="s">
        <v>30</v>
      </c>
      <c r="E77" s="1" t="s">
        <v>60</v>
      </c>
      <c r="F77" s="9">
        <v>12289507</v>
      </c>
      <c r="G77" s="1">
        <v>15</v>
      </c>
      <c r="H77" s="1">
        <v>0</v>
      </c>
      <c r="I77" s="3">
        <f>Tabla158[[#This Row],[Piezas NOK]]/Tabla158[[#This Row],[Piezas OK]]</f>
        <v>0</v>
      </c>
      <c r="J77" s="1">
        <f>ABS(G$3-I77)</f>
        <v>1</v>
      </c>
      <c r="K77" s="5">
        <f>Tabla158[[#This Row],[FTQ]]</f>
        <v>1</v>
      </c>
      <c r="M77" s="4">
        <v>46272</v>
      </c>
      <c r="N77" s="1">
        <f>WEEKNUM(Tabla2610[[#This Row],[07/09/2026]])</f>
        <v>37</v>
      </c>
      <c r="O77" s="1" t="s">
        <v>30</v>
      </c>
      <c r="P77" s="1">
        <v>700</v>
      </c>
      <c r="Q77" s="9">
        <v>12289507</v>
      </c>
      <c r="R77" s="1" t="s">
        <v>64</v>
      </c>
      <c r="S77" s="1">
        <v>90</v>
      </c>
    </row>
    <row r="78" spans="2:19" x14ac:dyDescent="0.3">
      <c r="B78" s="4">
        <v>46272</v>
      </c>
      <c r="C78" s="1">
        <f>WEEKNUM(Tabla158[[#This Row],[Fecha]])</f>
        <v>37</v>
      </c>
      <c r="D78" s="1" t="s">
        <v>30</v>
      </c>
      <c r="E78" s="1">
        <v>100</v>
      </c>
      <c r="F78" s="9">
        <v>12289507</v>
      </c>
      <c r="G78" s="1">
        <v>103</v>
      </c>
      <c r="H78" s="1">
        <v>0</v>
      </c>
      <c r="I78" s="3">
        <f>Tabla158[[#This Row],[Piezas NOK]]/Tabla158[[#This Row],[Piezas OK]]</f>
        <v>0</v>
      </c>
      <c r="J78" s="1">
        <f t="shared" ref="J78:J82" si="10">ABS(G$3-I78)</f>
        <v>1</v>
      </c>
      <c r="K78" s="5">
        <f>Tabla158[[#This Row],[FTQ]]</f>
        <v>1</v>
      </c>
      <c r="M78" s="4">
        <v>46272</v>
      </c>
      <c r="N78" s="1">
        <f>WEEKNUM(Tabla2610[[#This Row],[07/09/2026]])</f>
        <v>37</v>
      </c>
      <c r="O78" s="1" t="s">
        <v>30</v>
      </c>
      <c r="P78" s="1">
        <v>800</v>
      </c>
      <c r="Q78" s="9">
        <v>12289507</v>
      </c>
      <c r="R78" s="1" t="s">
        <v>65</v>
      </c>
      <c r="S78" s="1">
        <v>3</v>
      </c>
    </row>
    <row r="79" spans="2:19" x14ac:dyDescent="0.3">
      <c r="B79" s="4">
        <v>46272</v>
      </c>
      <c r="C79" s="1">
        <f>WEEKNUM(Tabla158[[#This Row],[Fecha]])</f>
        <v>37</v>
      </c>
      <c r="D79" s="1" t="s">
        <v>30</v>
      </c>
      <c r="E79" s="1">
        <v>200</v>
      </c>
      <c r="F79" s="9">
        <v>12289507</v>
      </c>
      <c r="G79" s="1">
        <v>103</v>
      </c>
      <c r="H79" s="1">
        <v>15</v>
      </c>
      <c r="I79" s="3">
        <f>Tabla158[[#This Row],[Piezas NOK]]/Tabla158[[#This Row],[Piezas OK]]</f>
        <v>0.14563106796116504</v>
      </c>
      <c r="J79" s="1">
        <f t="shared" si="10"/>
        <v>0.85436893203883502</v>
      </c>
      <c r="K79" s="5">
        <f>Tabla158[[#This Row],[FTQ]]</f>
        <v>0.85436893203883502</v>
      </c>
      <c r="M79" s="4">
        <v>46272</v>
      </c>
      <c r="N79" s="1">
        <f>WEEKNUM(Tabla2610[[#This Row],[07/09/2026]])</f>
        <v>37</v>
      </c>
      <c r="O79" s="1" t="s">
        <v>30</v>
      </c>
      <c r="P79" s="1" t="s">
        <v>66</v>
      </c>
      <c r="Q79" s="9">
        <v>12289507</v>
      </c>
      <c r="R79" s="1" t="s">
        <v>67</v>
      </c>
      <c r="S79" s="1">
        <v>69</v>
      </c>
    </row>
    <row r="80" spans="2:19" x14ac:dyDescent="0.3">
      <c r="B80" s="4">
        <v>46272</v>
      </c>
      <c r="C80" s="1">
        <f>WEEKNUM(Tabla158[[#This Row],[Fecha]])</f>
        <v>37</v>
      </c>
      <c r="D80" s="1" t="s">
        <v>30</v>
      </c>
      <c r="E80" s="1">
        <v>300</v>
      </c>
      <c r="F80" s="9">
        <v>12289507</v>
      </c>
      <c r="G80" s="1">
        <v>103</v>
      </c>
      <c r="H80" s="1">
        <v>3</v>
      </c>
      <c r="I80" s="3">
        <f>Tabla158[[#This Row],[Piezas NOK]]/Tabla158[[#This Row],[Piezas OK]]</f>
        <v>2.9126213592233011E-2</v>
      </c>
      <c r="J80" s="1">
        <f t="shared" si="10"/>
        <v>0.970873786407767</v>
      </c>
      <c r="K80" s="5">
        <f>Tabla158[[#This Row],[FTQ]]</f>
        <v>0.970873786407767</v>
      </c>
      <c r="M80" s="4">
        <v>46272</v>
      </c>
      <c r="N80" s="1">
        <f>WEEKNUM(Tabla2610[[#This Row],[07/09/2026]])</f>
        <v>37</v>
      </c>
      <c r="O80" s="1" t="s">
        <v>30</v>
      </c>
      <c r="P80" s="1" t="s">
        <v>59</v>
      </c>
      <c r="Q80" s="9">
        <v>12289507</v>
      </c>
      <c r="R80" s="1" t="s">
        <v>68</v>
      </c>
      <c r="S80" s="1">
        <v>10</v>
      </c>
    </row>
    <row r="81" spans="2:19" x14ac:dyDescent="0.3">
      <c r="B81" s="4">
        <v>46272</v>
      </c>
      <c r="C81" s="1">
        <f>WEEKNUM(Tabla158[[#This Row],[Fecha]])</f>
        <v>37</v>
      </c>
      <c r="D81" s="1" t="s">
        <v>30</v>
      </c>
      <c r="E81" s="1">
        <v>400</v>
      </c>
      <c r="F81" s="9">
        <v>12289507</v>
      </c>
      <c r="G81" s="1">
        <v>103</v>
      </c>
      <c r="H81" s="1">
        <v>2</v>
      </c>
      <c r="I81" s="3">
        <f>Tabla158[[#This Row],[Piezas NOK]]/Tabla158[[#This Row],[Piezas OK]]</f>
        <v>1.9417475728155338E-2</v>
      </c>
      <c r="J81" s="1">
        <f t="shared" si="10"/>
        <v>0.98058252427184467</v>
      </c>
      <c r="K81" s="5">
        <f>Tabla158[[#This Row],[FTQ]]</f>
        <v>0.98058252427184467</v>
      </c>
      <c r="M81" s="4">
        <v>46272</v>
      </c>
      <c r="N81" s="1">
        <f>WEEKNUM(Tabla2610[[#This Row],[07/09/2026]])</f>
        <v>37</v>
      </c>
      <c r="O81" s="1" t="s">
        <v>30</v>
      </c>
      <c r="P81" s="1" t="s">
        <v>59</v>
      </c>
      <c r="Q81" s="9">
        <v>12289507</v>
      </c>
      <c r="R81" s="1" t="s">
        <v>72</v>
      </c>
      <c r="S81" s="1">
        <v>4</v>
      </c>
    </row>
    <row r="82" spans="2:19" x14ac:dyDescent="0.3">
      <c r="B82" s="4">
        <v>46272</v>
      </c>
      <c r="C82" s="1">
        <f>WEEKNUM(Tabla158[[#This Row],[Fecha]])</f>
        <v>37</v>
      </c>
      <c r="D82" s="1" t="s">
        <v>30</v>
      </c>
      <c r="E82" s="1">
        <v>500</v>
      </c>
      <c r="F82" s="9">
        <v>12289507</v>
      </c>
      <c r="G82" s="1">
        <v>103</v>
      </c>
      <c r="H82" s="1">
        <v>0</v>
      </c>
      <c r="I82" s="3">
        <f>Tabla158[[#This Row],[Piezas NOK]]/Tabla158[[#This Row],[Piezas OK]]</f>
        <v>0</v>
      </c>
      <c r="J82" s="1">
        <f t="shared" si="10"/>
        <v>1</v>
      </c>
      <c r="K82" s="5">
        <f>Tabla158[[#This Row],[FTQ]]</f>
        <v>1</v>
      </c>
      <c r="M82" s="4">
        <v>46272</v>
      </c>
      <c r="N82" s="1">
        <f>WEEKNUM(Tabla2610[[#This Row],[07/09/2026]])</f>
        <v>37</v>
      </c>
      <c r="O82" s="1" t="s">
        <v>30</v>
      </c>
      <c r="P82" s="1" t="s">
        <v>74</v>
      </c>
      <c r="Q82" s="9">
        <v>12289507</v>
      </c>
      <c r="R82" s="1" t="s">
        <v>75</v>
      </c>
      <c r="S82" s="1">
        <v>17</v>
      </c>
    </row>
    <row r="83" spans="2:19" x14ac:dyDescent="0.3">
      <c r="B83" s="4">
        <v>46272</v>
      </c>
      <c r="C83" s="1">
        <f>WEEKNUM(Tabla158[[#This Row],[Fecha]])</f>
        <v>37</v>
      </c>
      <c r="D83" s="1" t="s">
        <v>30</v>
      </c>
      <c r="E83" s="1">
        <v>600</v>
      </c>
      <c r="F83" s="9">
        <v>12289507</v>
      </c>
      <c r="G83" s="1">
        <v>101</v>
      </c>
      <c r="H83" s="1">
        <v>80</v>
      </c>
      <c r="I83" s="3">
        <f>Tabla158[[#This Row],[Piezas NOK]]/Tabla158[[#This Row],[Piezas OK]]</f>
        <v>0.79207920792079212</v>
      </c>
      <c r="J83" s="1">
        <f t="shared" ref="J83:J89" si="11">ABS(G$3-I83)</f>
        <v>0.20792079207920788</v>
      </c>
      <c r="K83" s="5">
        <f>Tabla158[[#This Row],[FTQ]]</f>
        <v>0.20792079207920788</v>
      </c>
      <c r="M83" s="4">
        <v>46272</v>
      </c>
      <c r="N83" s="1">
        <f>WEEKNUM(Tabla2610[[#This Row],[07/09/2026]])</f>
        <v>37</v>
      </c>
      <c r="O83" s="1" t="s">
        <v>30</v>
      </c>
      <c r="P83" s="1" t="s">
        <v>76</v>
      </c>
      <c r="Q83" s="9">
        <v>12289507</v>
      </c>
      <c r="R83" s="1" t="s">
        <v>78</v>
      </c>
      <c r="S83" s="1">
        <v>7</v>
      </c>
    </row>
    <row r="84" spans="2:19" x14ac:dyDescent="0.3">
      <c r="B84" s="4">
        <v>46272</v>
      </c>
      <c r="C84" s="1">
        <f>WEEKNUM(Tabla158[[#This Row],[Fecha]])</f>
        <v>37</v>
      </c>
      <c r="D84" s="1" t="s">
        <v>30</v>
      </c>
      <c r="E84" s="1">
        <v>700</v>
      </c>
      <c r="F84" s="9">
        <v>12289507</v>
      </c>
      <c r="G84" s="1">
        <v>101</v>
      </c>
      <c r="H84" s="1">
        <v>90</v>
      </c>
      <c r="I84" s="3">
        <f>Tabla158[[#This Row],[Piezas NOK]]/Tabla158[[#This Row],[Piezas OK]]</f>
        <v>0.8910891089108911</v>
      </c>
      <c r="J84" s="1">
        <f t="shared" si="11"/>
        <v>0.1089108910891089</v>
      </c>
      <c r="K84" s="5">
        <f>Tabla158[[#This Row],[FTQ]]</f>
        <v>0.1089108910891089</v>
      </c>
      <c r="M84" s="4">
        <v>46272</v>
      </c>
      <c r="N84" s="1">
        <f>WEEKNUM(Tabla2610[[#This Row],[07/09/2026]])</f>
        <v>37</v>
      </c>
      <c r="O84" s="1" t="s">
        <v>30</v>
      </c>
      <c r="P84" s="1" t="s">
        <v>76</v>
      </c>
      <c r="Q84" s="9">
        <v>12289507</v>
      </c>
      <c r="R84" s="1" t="s">
        <v>79</v>
      </c>
      <c r="S84" s="1">
        <v>7</v>
      </c>
    </row>
    <row r="85" spans="2:19" x14ac:dyDescent="0.3">
      <c r="B85" s="4">
        <v>46272</v>
      </c>
      <c r="C85" s="1">
        <f>WEEKNUM(Tabla158[[#This Row],[Fecha]])</f>
        <v>37</v>
      </c>
      <c r="D85" s="1" t="s">
        <v>30</v>
      </c>
      <c r="E85" s="1">
        <v>800</v>
      </c>
      <c r="F85" s="9">
        <v>12289507</v>
      </c>
      <c r="G85" s="1">
        <v>101</v>
      </c>
      <c r="H85" s="1">
        <v>3</v>
      </c>
      <c r="I85" s="3">
        <f>Tabla158[[#This Row],[Piezas NOK]]/Tabla158[[#This Row],[Piezas OK]]</f>
        <v>2.9702970297029702E-2</v>
      </c>
      <c r="J85" s="1">
        <f t="shared" si="11"/>
        <v>0.97029702970297027</v>
      </c>
      <c r="K85" s="5">
        <f>Tabla158[[#This Row],[FTQ]]</f>
        <v>0.97029702970297027</v>
      </c>
      <c r="M85" s="4">
        <v>46282</v>
      </c>
      <c r="N85" s="1">
        <f>WEEKNUM(Tabla2610[[#This Row],[07/09/2026]])</f>
        <v>38</v>
      </c>
      <c r="O85" s="1" t="s">
        <v>30</v>
      </c>
      <c r="P85" s="1">
        <v>100</v>
      </c>
      <c r="Q85" s="9">
        <v>12289507</v>
      </c>
      <c r="R85" s="1" t="s">
        <v>35</v>
      </c>
      <c r="S85" s="1">
        <v>2</v>
      </c>
    </row>
    <row r="86" spans="2:19" x14ac:dyDescent="0.3">
      <c r="B86" s="4">
        <v>46272</v>
      </c>
      <c r="C86" s="1">
        <f>WEEKNUM(Tabla158[[#This Row],[Fecha]])</f>
        <v>37</v>
      </c>
      <c r="D86" s="1" t="s">
        <v>30</v>
      </c>
      <c r="E86" s="1" t="s">
        <v>66</v>
      </c>
      <c r="F86" s="9">
        <v>12289507</v>
      </c>
      <c r="G86" s="1">
        <v>100</v>
      </c>
      <c r="H86" s="1">
        <v>69</v>
      </c>
      <c r="I86" s="3">
        <f>Tabla158[[#This Row],[Piezas NOK]]/Tabla158[[#This Row],[Piezas OK]]</f>
        <v>0.69</v>
      </c>
      <c r="J86" s="1">
        <f t="shared" si="11"/>
        <v>0.31000000000000005</v>
      </c>
      <c r="K86" s="5">
        <f>Tabla158[[#This Row],[FTQ]]</f>
        <v>0.31000000000000005</v>
      </c>
      <c r="M86" s="4">
        <v>46282</v>
      </c>
      <c r="N86" s="1">
        <f>WEEKNUM(Tabla2610[[#This Row],[07/09/2026]])</f>
        <v>38</v>
      </c>
      <c r="O86" s="1" t="s">
        <v>30</v>
      </c>
      <c r="P86" s="1">
        <v>100</v>
      </c>
      <c r="Q86" s="9">
        <v>12289507</v>
      </c>
      <c r="R86" s="1" t="s">
        <v>80</v>
      </c>
      <c r="S86" s="1">
        <v>3</v>
      </c>
    </row>
    <row r="87" spans="2:19" x14ac:dyDescent="0.3">
      <c r="B87" s="4">
        <v>46272</v>
      </c>
      <c r="C87" s="1">
        <f>WEEKNUM(Tabla158[[#This Row],[Fecha]])</f>
        <v>37</v>
      </c>
      <c r="D87" s="1" t="s">
        <v>30</v>
      </c>
      <c r="E87" s="1" t="s">
        <v>59</v>
      </c>
      <c r="F87" s="9">
        <v>12289507</v>
      </c>
      <c r="G87" s="1">
        <v>86</v>
      </c>
      <c r="H87" s="1">
        <v>14</v>
      </c>
      <c r="I87" s="3">
        <f>Tabla158[[#This Row],[Piezas NOK]]/Tabla158[[#This Row],[Piezas OK]]</f>
        <v>0.16279069767441862</v>
      </c>
      <c r="J87" s="1">
        <f t="shared" si="11"/>
        <v>0.83720930232558133</v>
      </c>
      <c r="K87" s="5">
        <f>Tabla158[[#This Row],[FTQ]]</f>
        <v>0.83720930232558133</v>
      </c>
      <c r="M87" s="4">
        <v>46282</v>
      </c>
      <c r="N87" s="1">
        <f>WEEKNUM(Tabla2610[[#This Row],[07/09/2026]])</f>
        <v>38</v>
      </c>
      <c r="O87" s="1" t="s">
        <v>30</v>
      </c>
      <c r="P87" s="1">
        <v>200</v>
      </c>
      <c r="Q87" s="9">
        <v>12289507</v>
      </c>
      <c r="R87" s="1" t="s">
        <v>81</v>
      </c>
      <c r="S87" s="1">
        <v>3</v>
      </c>
    </row>
    <row r="88" spans="2:19" x14ac:dyDescent="0.3">
      <c r="B88" s="4">
        <v>46272</v>
      </c>
      <c r="C88" s="1">
        <f>WEEKNUM(Tabla158[[#This Row],[Fecha]])</f>
        <v>37</v>
      </c>
      <c r="D88" s="1" t="s">
        <v>30</v>
      </c>
      <c r="E88" s="1" t="s">
        <v>60</v>
      </c>
      <c r="F88" s="9">
        <v>12289507</v>
      </c>
      <c r="G88" s="1">
        <v>83</v>
      </c>
      <c r="H88" s="1">
        <v>17</v>
      </c>
      <c r="I88" s="3">
        <f>Tabla158[[#This Row],[Piezas NOK]]/Tabla158[[#This Row],[Piezas OK]]</f>
        <v>0.20481927710843373</v>
      </c>
      <c r="J88" s="1">
        <f>ABS(G$3-I88)</f>
        <v>0.79518072289156627</v>
      </c>
      <c r="K88" s="5">
        <f>Tabla158[[#This Row],[FTQ]]</f>
        <v>0.79518072289156627</v>
      </c>
      <c r="M88" s="4">
        <v>46282</v>
      </c>
      <c r="N88" s="1">
        <f>WEEKNUM(Tabla2610[[#This Row],[07/09/2026]])</f>
        <v>38</v>
      </c>
      <c r="O88" s="1" t="s">
        <v>30</v>
      </c>
      <c r="P88" s="1">
        <v>200</v>
      </c>
      <c r="Q88" s="9">
        <v>12289507</v>
      </c>
      <c r="R88" s="1" t="s">
        <v>21</v>
      </c>
      <c r="S88" s="1">
        <v>3</v>
      </c>
    </row>
    <row r="89" spans="2:19" x14ac:dyDescent="0.3">
      <c r="B89" s="4">
        <v>46272</v>
      </c>
      <c r="C89" s="1">
        <f>WEEKNUM(Tabla158[[#This Row],[Fecha]])</f>
        <v>37</v>
      </c>
      <c r="D89" s="1" t="s">
        <v>30</v>
      </c>
      <c r="E89" s="1" t="s">
        <v>76</v>
      </c>
      <c r="F89" s="9">
        <v>12289507</v>
      </c>
      <c r="G89" s="1">
        <v>45</v>
      </c>
      <c r="H89" s="1">
        <v>7</v>
      </c>
      <c r="I89" s="3">
        <f>Tabla158[[#This Row],[Piezas NOK]]/Tabla158[[#This Row],[Piezas OK]]</f>
        <v>0.15555555555555556</v>
      </c>
      <c r="J89" s="1">
        <f t="shared" si="11"/>
        <v>0.84444444444444444</v>
      </c>
      <c r="K89" s="5">
        <f>Tabla158[[#This Row],[FTQ]]</f>
        <v>0.84444444444444444</v>
      </c>
      <c r="M89" s="4">
        <v>46282</v>
      </c>
      <c r="N89" s="1">
        <f>WEEKNUM(Tabla2610[[#This Row],[07/09/2026]])</f>
        <v>38</v>
      </c>
      <c r="O89" s="1" t="s">
        <v>30</v>
      </c>
      <c r="P89" s="1">
        <v>300</v>
      </c>
      <c r="Q89" s="9">
        <v>12289507</v>
      </c>
      <c r="R89" s="1" t="s">
        <v>62</v>
      </c>
      <c r="S89" s="1">
        <v>3</v>
      </c>
    </row>
    <row r="90" spans="2:19" x14ac:dyDescent="0.3">
      <c r="B90" s="4">
        <v>46272</v>
      </c>
      <c r="C90" s="1">
        <f>WEEKNUM(Tabla158[[#This Row],[Fecha]])</f>
        <v>37</v>
      </c>
      <c r="D90" s="1" t="s">
        <v>30</v>
      </c>
      <c r="E90" s="1" t="s">
        <v>77</v>
      </c>
      <c r="F90" s="9">
        <v>12289507</v>
      </c>
      <c r="G90" s="1">
        <v>33</v>
      </c>
      <c r="H90" s="1">
        <v>7</v>
      </c>
      <c r="I90" s="3">
        <f>Tabla158[[#This Row],[Piezas NOK]]/Tabla158[[#This Row],[Piezas OK]]</f>
        <v>0.21212121212121213</v>
      </c>
      <c r="J90" s="1">
        <f>ABS(G$3-I90)</f>
        <v>0.78787878787878785</v>
      </c>
      <c r="K90" s="5">
        <f>Tabla158[[#This Row],[FTQ]]</f>
        <v>0.78787878787878785</v>
      </c>
      <c r="M90" s="4">
        <v>46282</v>
      </c>
      <c r="N90" s="1">
        <f>WEEKNUM(Tabla2610[[#This Row],[07/09/2026]])</f>
        <v>38</v>
      </c>
      <c r="O90" s="1" t="s">
        <v>30</v>
      </c>
      <c r="P90" s="1">
        <v>400</v>
      </c>
      <c r="Q90" s="9">
        <v>12289507</v>
      </c>
      <c r="R90" s="1" t="s">
        <v>82</v>
      </c>
      <c r="S90" s="1">
        <v>4</v>
      </c>
    </row>
    <row r="91" spans="2:19" x14ac:dyDescent="0.3">
      <c r="B91" s="4">
        <v>46282</v>
      </c>
      <c r="C91" s="1">
        <f>WEEKNUM(Tabla158[[#This Row],[Fecha]])</f>
        <v>38</v>
      </c>
      <c r="D91" s="1" t="s">
        <v>30</v>
      </c>
      <c r="E91" s="1">
        <v>100</v>
      </c>
      <c r="F91" s="9">
        <v>12289507</v>
      </c>
      <c r="G91" s="1">
        <v>122</v>
      </c>
      <c r="H91" s="1">
        <v>5</v>
      </c>
      <c r="I91" s="3">
        <f>Tabla158[[#This Row],[Piezas NOK]]/Tabla158[[#This Row],[Piezas OK]]</f>
        <v>4.0983606557377046E-2</v>
      </c>
      <c r="J91" s="1">
        <f t="shared" ref="J91:J97" si="12">ABS(G$3-I91)</f>
        <v>0.95901639344262291</v>
      </c>
      <c r="K91" s="5">
        <f>Tabla158[[#This Row],[FTQ]]</f>
        <v>0.95901639344262291</v>
      </c>
      <c r="M91" s="4">
        <v>46282</v>
      </c>
      <c r="N91" s="1">
        <f>WEEKNUM(Tabla2610[[#This Row],[07/09/2026]])</f>
        <v>38</v>
      </c>
      <c r="O91" s="1" t="s">
        <v>30</v>
      </c>
      <c r="P91" s="1">
        <v>600</v>
      </c>
      <c r="Q91" s="9">
        <v>12289507</v>
      </c>
      <c r="R91" s="1" t="s">
        <v>63</v>
      </c>
      <c r="S91" s="1">
        <v>3</v>
      </c>
    </row>
    <row r="92" spans="2:19" x14ac:dyDescent="0.3">
      <c r="B92" s="4">
        <v>46282</v>
      </c>
      <c r="C92" s="1">
        <f>WEEKNUM(Tabla158[[#This Row],[Fecha]])</f>
        <v>38</v>
      </c>
      <c r="D92" s="1" t="s">
        <v>30</v>
      </c>
      <c r="E92" s="1">
        <v>200</v>
      </c>
      <c r="F92" s="9">
        <v>12289507</v>
      </c>
      <c r="G92" s="1">
        <v>120</v>
      </c>
      <c r="H92" s="1">
        <v>7</v>
      </c>
      <c r="I92" s="3">
        <f>Tabla158[[#This Row],[Piezas NOK]]/Tabla158[[#This Row],[Piezas OK]]</f>
        <v>5.8333333333333334E-2</v>
      </c>
      <c r="J92" s="1">
        <f t="shared" si="12"/>
        <v>0.94166666666666665</v>
      </c>
      <c r="K92" s="5">
        <f>Tabla158[[#This Row],[FTQ]]</f>
        <v>0.94166666666666665</v>
      </c>
      <c r="M92" s="4">
        <v>46282</v>
      </c>
      <c r="N92" s="1">
        <f>WEEKNUM(Tabla2610[[#This Row],[07/09/2026]])</f>
        <v>38</v>
      </c>
      <c r="O92" s="1" t="s">
        <v>30</v>
      </c>
      <c r="P92" s="1">
        <v>600</v>
      </c>
      <c r="Q92" s="9">
        <v>12289507</v>
      </c>
      <c r="R92" s="1" t="s">
        <v>58</v>
      </c>
      <c r="S92" s="1">
        <v>2</v>
      </c>
    </row>
    <row r="93" spans="2:19" x14ac:dyDescent="0.3">
      <c r="B93" s="4">
        <v>46282</v>
      </c>
      <c r="C93" s="1">
        <f>WEEKNUM(Tabla158[[#This Row],[Fecha]])</f>
        <v>38</v>
      </c>
      <c r="D93" s="1" t="s">
        <v>30</v>
      </c>
      <c r="E93" s="1">
        <v>300</v>
      </c>
      <c r="F93" s="9">
        <v>12289507</v>
      </c>
      <c r="G93" s="1">
        <v>100</v>
      </c>
      <c r="H93" s="1">
        <v>3</v>
      </c>
      <c r="I93" s="3">
        <f>Tabla158[[#This Row],[Piezas NOK]]/Tabla158[[#This Row],[Piezas OK]]</f>
        <v>0.03</v>
      </c>
      <c r="J93" s="1">
        <f t="shared" si="12"/>
        <v>0.97</v>
      </c>
      <c r="K93" s="5">
        <f>Tabla158[[#This Row],[FTQ]]</f>
        <v>0.97</v>
      </c>
      <c r="M93" s="4">
        <v>46282</v>
      </c>
      <c r="N93" s="1">
        <f>WEEKNUM(Tabla2610[[#This Row],[07/09/2026]])</f>
        <v>38</v>
      </c>
      <c r="O93" s="1" t="s">
        <v>30</v>
      </c>
      <c r="P93" s="1">
        <v>700</v>
      </c>
      <c r="Q93" s="9">
        <v>12289507</v>
      </c>
      <c r="R93" s="1" t="s">
        <v>97</v>
      </c>
      <c r="S93" s="1">
        <v>2</v>
      </c>
    </row>
    <row r="94" spans="2:19" x14ac:dyDescent="0.3">
      <c r="B94" s="4">
        <v>46282</v>
      </c>
      <c r="C94" s="1">
        <f>WEEKNUM(Tabla158[[#This Row],[Fecha]])</f>
        <v>38</v>
      </c>
      <c r="D94" s="1" t="s">
        <v>30</v>
      </c>
      <c r="E94" s="1">
        <v>400</v>
      </c>
      <c r="F94" s="9">
        <v>12289507</v>
      </c>
      <c r="G94" s="1">
        <v>119</v>
      </c>
      <c r="H94" s="1">
        <v>4</v>
      </c>
      <c r="I94" s="3">
        <f>Tabla158[[#This Row],[Piezas NOK]]/Tabla158[[#This Row],[Piezas OK]]</f>
        <v>3.3613445378151259E-2</v>
      </c>
      <c r="J94" s="1">
        <f t="shared" si="12"/>
        <v>0.96638655462184875</v>
      </c>
      <c r="K94" s="12">
        <f>Tabla158[[#This Row],[FTQ]]</f>
        <v>0.96638655462184875</v>
      </c>
      <c r="M94" s="4">
        <v>46282</v>
      </c>
      <c r="N94" s="1">
        <f>WEEKNUM(Tabla2610[[#This Row],[07/09/2026]])</f>
        <v>38</v>
      </c>
      <c r="O94" s="1" t="s">
        <v>30</v>
      </c>
      <c r="P94" s="1">
        <v>800</v>
      </c>
      <c r="Q94" s="9">
        <v>12289507</v>
      </c>
      <c r="R94" s="1" t="s">
        <v>65</v>
      </c>
      <c r="S94" s="1">
        <v>2</v>
      </c>
    </row>
    <row r="95" spans="2:19" x14ac:dyDescent="0.3">
      <c r="B95" s="4">
        <v>46282</v>
      </c>
      <c r="C95" s="1">
        <f>WEEKNUM(Tabla158[[#This Row],[Fecha]])</f>
        <v>38</v>
      </c>
      <c r="D95" s="1" t="s">
        <v>30</v>
      </c>
      <c r="E95" s="1">
        <v>500</v>
      </c>
      <c r="F95" s="9">
        <v>12289507</v>
      </c>
      <c r="G95" s="1">
        <v>124</v>
      </c>
      <c r="H95" s="1">
        <v>0</v>
      </c>
      <c r="I95" s="3">
        <f>Tabla158[[#This Row],[Piezas NOK]]/Tabla158[[#This Row],[Piezas OK]]</f>
        <v>0</v>
      </c>
      <c r="J95" s="1">
        <f t="shared" si="12"/>
        <v>1</v>
      </c>
      <c r="K95" s="5">
        <f>Tabla158[[#This Row],[FTQ]]</f>
        <v>1</v>
      </c>
      <c r="M95" s="4">
        <v>46282</v>
      </c>
      <c r="N95" s="1">
        <f>WEEKNUM(Tabla2610[[#This Row],[07/09/2026]])</f>
        <v>38</v>
      </c>
      <c r="O95" s="1" t="s">
        <v>30</v>
      </c>
      <c r="P95" s="1">
        <v>800</v>
      </c>
      <c r="Q95" s="9">
        <v>12289507</v>
      </c>
      <c r="R95" s="1" t="s">
        <v>34</v>
      </c>
      <c r="S95" s="1">
        <v>2</v>
      </c>
    </row>
    <row r="96" spans="2:19" x14ac:dyDescent="0.3">
      <c r="B96" s="4">
        <v>46282</v>
      </c>
      <c r="C96" s="1">
        <f>WEEKNUM(Tabla158[[#This Row],[Fecha]])</f>
        <v>38</v>
      </c>
      <c r="D96" s="1" t="s">
        <v>30</v>
      </c>
      <c r="E96" s="1">
        <v>600</v>
      </c>
      <c r="F96" s="9">
        <v>12289507</v>
      </c>
      <c r="G96" s="1">
        <v>119</v>
      </c>
      <c r="H96" s="1">
        <v>5</v>
      </c>
      <c r="I96" s="3">
        <f>Tabla158[[#This Row],[Piezas NOK]]/Tabla158[[#This Row],[Piezas OK]]</f>
        <v>4.2016806722689079E-2</v>
      </c>
      <c r="J96" s="1">
        <f t="shared" si="12"/>
        <v>0.95798319327731096</v>
      </c>
      <c r="K96" s="5">
        <f>Tabla158[[#This Row],[FTQ]]</f>
        <v>0.95798319327731096</v>
      </c>
      <c r="M96" s="4">
        <v>46289</v>
      </c>
      <c r="N96" s="1">
        <f>WEEKNUM(Tabla2610[[#This Row],[07/09/2026]])</f>
        <v>39</v>
      </c>
      <c r="O96" s="1" t="s">
        <v>30</v>
      </c>
      <c r="P96" s="1">
        <v>100</v>
      </c>
      <c r="Q96" s="9">
        <v>12289507</v>
      </c>
      <c r="R96" s="1" t="s">
        <v>84</v>
      </c>
      <c r="S96" s="1">
        <v>6</v>
      </c>
    </row>
    <row r="97" spans="2:19" x14ac:dyDescent="0.3">
      <c r="B97" s="4">
        <v>46282</v>
      </c>
      <c r="C97" s="1">
        <f>WEEKNUM(Tabla158[[#This Row],[Fecha]])</f>
        <v>38</v>
      </c>
      <c r="D97" s="1" t="s">
        <v>30</v>
      </c>
      <c r="E97" s="1">
        <v>700</v>
      </c>
      <c r="F97" s="9">
        <v>12289507</v>
      </c>
      <c r="G97" s="1">
        <v>118</v>
      </c>
      <c r="H97" s="1">
        <v>2</v>
      </c>
      <c r="I97" s="3">
        <f>Tabla158[[#This Row],[Piezas NOK]]/Tabla158[[#This Row],[Piezas OK]]</f>
        <v>1.6949152542372881E-2</v>
      </c>
      <c r="J97" s="1">
        <f t="shared" si="12"/>
        <v>0.98305084745762716</v>
      </c>
      <c r="K97" s="5">
        <f>Tabla158[[#This Row],[FTQ]]</f>
        <v>0.98305084745762716</v>
      </c>
      <c r="M97" s="4">
        <v>46289</v>
      </c>
      <c r="N97" s="1">
        <f>WEEKNUM(Tabla2610[[#This Row],[07/09/2026]])</f>
        <v>39</v>
      </c>
      <c r="O97" s="1" t="s">
        <v>30</v>
      </c>
      <c r="P97" s="1">
        <v>200</v>
      </c>
      <c r="Q97" s="9">
        <v>12289507</v>
      </c>
      <c r="R97" s="1" t="s">
        <v>85</v>
      </c>
      <c r="S97" s="1">
        <v>1</v>
      </c>
    </row>
    <row r="98" spans="2:19" x14ac:dyDescent="0.3">
      <c r="B98" s="4">
        <v>46282</v>
      </c>
      <c r="C98" s="1">
        <f>WEEKNUM(Tabla158[[#This Row],[Fecha]])</f>
        <v>38</v>
      </c>
      <c r="D98" s="1" t="s">
        <v>30</v>
      </c>
      <c r="E98" s="1">
        <v>800</v>
      </c>
      <c r="F98" s="9">
        <v>12289507</v>
      </c>
      <c r="G98" s="1">
        <v>112</v>
      </c>
      <c r="H98" s="1">
        <v>4</v>
      </c>
      <c r="I98" s="3">
        <f>Tabla158[[#This Row],[Piezas NOK]]/Tabla158[[#This Row],[Piezas OK]]</f>
        <v>3.5714285714285712E-2</v>
      </c>
      <c r="J98" s="1">
        <f>ABS(G$3-I98)</f>
        <v>0.9642857142857143</v>
      </c>
      <c r="K98" s="5">
        <f>Tabla158[[#This Row],[FTQ]]</f>
        <v>0.9642857142857143</v>
      </c>
      <c r="M98" s="4">
        <v>46289</v>
      </c>
      <c r="N98" s="1">
        <f>WEEKNUM(Tabla2610[[#This Row],[07/09/2026]])</f>
        <v>39</v>
      </c>
      <c r="O98" s="1" t="s">
        <v>30</v>
      </c>
      <c r="P98" s="1">
        <v>300</v>
      </c>
      <c r="Q98" s="9">
        <v>12289507</v>
      </c>
      <c r="R98" s="1" t="s">
        <v>62</v>
      </c>
      <c r="S98" s="1">
        <v>5</v>
      </c>
    </row>
    <row r="99" spans="2:19" x14ac:dyDescent="0.3">
      <c r="B99" s="4">
        <v>46289</v>
      </c>
      <c r="C99" s="1">
        <f>WEEKNUM(Tabla158[[#This Row],[Fecha]])</f>
        <v>39</v>
      </c>
      <c r="D99" s="1" t="s">
        <v>30</v>
      </c>
      <c r="E99" s="1">
        <v>100</v>
      </c>
      <c r="F99" s="9">
        <v>12289507</v>
      </c>
      <c r="G99" s="1">
        <v>94</v>
      </c>
      <c r="H99" s="1">
        <v>6</v>
      </c>
      <c r="I99" s="3">
        <f>Tabla158[[#This Row],[Piezas NOK]]/Tabla158[[#This Row],[Piezas OK]]</f>
        <v>6.3829787234042548E-2</v>
      </c>
      <c r="J99" s="1">
        <f t="shared" ref="J99:J110" si="13">ABS(G$3-I99)</f>
        <v>0.93617021276595747</v>
      </c>
      <c r="K99" s="5">
        <f>Tabla158[[#This Row],[FTQ]]</f>
        <v>0.93617021276595747</v>
      </c>
      <c r="M99" s="4">
        <v>46289</v>
      </c>
      <c r="N99" s="1">
        <f>WEEKNUM(Tabla2610[[#This Row],[07/09/2026]])</f>
        <v>39</v>
      </c>
      <c r="O99" s="1" t="s">
        <v>30</v>
      </c>
      <c r="P99" s="1">
        <v>400</v>
      </c>
      <c r="Q99" s="9">
        <v>12289507</v>
      </c>
      <c r="R99" s="1" t="s">
        <v>82</v>
      </c>
      <c r="S99" s="1">
        <v>3</v>
      </c>
    </row>
    <row r="100" spans="2:19" x14ac:dyDescent="0.3">
      <c r="B100" s="4">
        <v>46289</v>
      </c>
      <c r="C100" s="1">
        <f>WEEKNUM(Tabla158[[#This Row],[Fecha]])</f>
        <v>39</v>
      </c>
      <c r="D100" s="1" t="s">
        <v>30</v>
      </c>
      <c r="E100" s="1">
        <v>200</v>
      </c>
      <c r="F100" s="9">
        <v>12289507</v>
      </c>
      <c r="G100" s="1">
        <v>99</v>
      </c>
      <c r="H100" s="1">
        <v>1</v>
      </c>
      <c r="I100" s="3">
        <f>Tabla158[[#This Row],[Piezas NOK]]/Tabla158[[#This Row],[Piezas OK]]</f>
        <v>1.0101010101010102E-2</v>
      </c>
      <c r="J100" s="1">
        <f t="shared" si="13"/>
        <v>0.98989898989898994</v>
      </c>
      <c r="K100" s="5">
        <f>Tabla158[[#This Row],[FTQ]]</f>
        <v>0.98989898989898994</v>
      </c>
      <c r="M100" s="4">
        <v>46289</v>
      </c>
      <c r="N100" s="1">
        <f>WEEKNUM(Tabla2610[[#This Row],[07/09/2026]])</f>
        <v>39</v>
      </c>
      <c r="O100" s="1" t="s">
        <v>30</v>
      </c>
      <c r="P100" s="1">
        <v>400</v>
      </c>
      <c r="Q100" s="9">
        <v>12289507</v>
      </c>
      <c r="R100" s="1" t="s">
        <v>83</v>
      </c>
      <c r="S100" s="1">
        <v>3</v>
      </c>
    </row>
    <row r="101" spans="2:19" x14ac:dyDescent="0.3">
      <c r="B101" s="4">
        <v>46289</v>
      </c>
      <c r="C101" s="1">
        <f>WEEKNUM(Tabla158[[#This Row],[Fecha]])</f>
        <v>39</v>
      </c>
      <c r="D101" s="1" t="s">
        <v>30</v>
      </c>
      <c r="E101" s="1">
        <v>300</v>
      </c>
      <c r="F101" s="9">
        <v>12289507</v>
      </c>
      <c r="G101" s="1">
        <v>95</v>
      </c>
      <c r="H101" s="1">
        <v>5</v>
      </c>
      <c r="I101" s="3">
        <f>Tabla158[[#This Row],[Piezas NOK]]/Tabla158[[#This Row],[Piezas OK]]</f>
        <v>5.2631578947368418E-2</v>
      </c>
      <c r="J101" s="1">
        <f t="shared" si="13"/>
        <v>0.94736842105263164</v>
      </c>
      <c r="K101" s="5">
        <f>Tabla158[[#This Row],[FTQ]]</f>
        <v>0.94736842105263164</v>
      </c>
      <c r="M101" s="4">
        <v>46289</v>
      </c>
      <c r="N101" s="1">
        <f>WEEKNUM(Tabla2610[[#This Row],[07/09/2026]])</f>
        <v>39</v>
      </c>
      <c r="O101" s="1" t="s">
        <v>30</v>
      </c>
      <c r="P101" s="1">
        <v>400</v>
      </c>
      <c r="Q101" s="9">
        <v>12289507</v>
      </c>
      <c r="R101" s="1" t="s">
        <v>86</v>
      </c>
      <c r="S101" s="1">
        <v>1</v>
      </c>
    </row>
    <row r="102" spans="2:19" x14ac:dyDescent="0.3">
      <c r="B102" s="4">
        <v>46289</v>
      </c>
      <c r="C102" s="1">
        <f>WEEKNUM(Tabla158[[#This Row],[Fecha]])</f>
        <v>39</v>
      </c>
      <c r="D102" s="1" t="s">
        <v>30</v>
      </c>
      <c r="E102" s="1">
        <v>400</v>
      </c>
      <c r="F102" s="9">
        <v>12289507</v>
      </c>
      <c r="G102" s="1">
        <v>97</v>
      </c>
      <c r="H102" s="1">
        <v>3</v>
      </c>
      <c r="I102" s="3">
        <f>Tabla158[[#This Row],[Piezas NOK]]/Tabla158[[#This Row],[Piezas OK]]</f>
        <v>3.0927835051546393E-2</v>
      </c>
      <c r="J102" s="1">
        <f t="shared" si="13"/>
        <v>0.96907216494845361</v>
      </c>
      <c r="K102" s="5">
        <f>Tabla158[[#This Row],[FTQ]]</f>
        <v>0.96907216494845361</v>
      </c>
      <c r="M102" s="4">
        <v>46289</v>
      </c>
      <c r="N102" s="1">
        <f>WEEKNUM(Tabla2610[[#This Row],[07/09/2026]])</f>
        <v>39</v>
      </c>
      <c r="O102" s="1" t="s">
        <v>30</v>
      </c>
      <c r="P102" s="1">
        <v>600</v>
      </c>
      <c r="Q102" s="9">
        <v>12289507</v>
      </c>
      <c r="R102" s="1" t="s">
        <v>58</v>
      </c>
      <c r="S102" s="1">
        <v>2</v>
      </c>
    </row>
    <row r="103" spans="2:19" x14ac:dyDescent="0.3">
      <c r="B103" s="4">
        <v>46289</v>
      </c>
      <c r="C103" s="1">
        <f>WEEKNUM(Tabla158[[#This Row],[Fecha]])</f>
        <v>39</v>
      </c>
      <c r="D103" s="1" t="s">
        <v>30</v>
      </c>
      <c r="E103" s="1">
        <v>500</v>
      </c>
      <c r="F103" s="9">
        <v>12289507</v>
      </c>
      <c r="G103" s="1">
        <v>95</v>
      </c>
      <c r="H103" s="1">
        <v>0</v>
      </c>
      <c r="I103" s="3">
        <f>Tabla158[[#This Row],[Piezas NOK]]/Tabla158[[#This Row],[Piezas OK]]</f>
        <v>0</v>
      </c>
      <c r="J103" s="1">
        <f t="shared" si="13"/>
        <v>1</v>
      </c>
      <c r="K103" s="5">
        <f>Tabla158[[#This Row],[FTQ]]</f>
        <v>1</v>
      </c>
      <c r="M103" s="4">
        <v>46289</v>
      </c>
      <c r="N103" s="1">
        <f>WEEKNUM(Tabla2610[[#This Row],[07/09/2026]])</f>
        <v>39</v>
      </c>
      <c r="O103" s="1" t="s">
        <v>30</v>
      </c>
      <c r="P103" s="1">
        <v>700</v>
      </c>
      <c r="Q103" s="9">
        <v>12289507</v>
      </c>
      <c r="R103" s="1" t="s">
        <v>97</v>
      </c>
      <c r="S103" s="1">
        <v>10</v>
      </c>
    </row>
    <row r="104" spans="2:19" x14ac:dyDescent="0.3">
      <c r="B104" s="4">
        <v>46289</v>
      </c>
      <c r="C104" s="1">
        <f>WEEKNUM(Tabla158[[#This Row],[Fecha]])</f>
        <v>39</v>
      </c>
      <c r="D104" s="1" t="s">
        <v>30</v>
      </c>
      <c r="E104" s="1">
        <v>600</v>
      </c>
      <c r="F104" s="9">
        <v>12289507</v>
      </c>
      <c r="G104" s="1">
        <v>93</v>
      </c>
      <c r="H104" s="1">
        <v>2</v>
      </c>
      <c r="I104" s="3">
        <f>Tabla158[[#This Row],[Piezas NOK]]/Tabla158[[#This Row],[Piezas OK]]</f>
        <v>2.1505376344086023E-2</v>
      </c>
      <c r="J104" s="1">
        <f t="shared" si="13"/>
        <v>0.978494623655914</v>
      </c>
      <c r="K104" s="5">
        <f>Tabla158[[#This Row],[FTQ]]</f>
        <v>0.978494623655914</v>
      </c>
      <c r="M104" s="4">
        <v>46289</v>
      </c>
      <c r="N104" s="1">
        <f>WEEKNUM(Tabla2610[[#This Row],[07/09/2026]])</f>
        <v>39</v>
      </c>
      <c r="O104" s="1" t="s">
        <v>30</v>
      </c>
      <c r="P104" s="1">
        <v>700</v>
      </c>
      <c r="Q104" s="9">
        <v>12289507</v>
      </c>
      <c r="R104" s="1" t="s">
        <v>97</v>
      </c>
      <c r="S104" s="1">
        <v>10</v>
      </c>
    </row>
    <row r="105" spans="2:19" x14ac:dyDescent="0.3">
      <c r="B105" s="4">
        <v>46289</v>
      </c>
      <c r="C105" s="1">
        <f>WEEKNUM(Tabla158[[#This Row],[Fecha]])</f>
        <v>39</v>
      </c>
      <c r="D105" s="1" t="s">
        <v>30</v>
      </c>
      <c r="E105" s="1">
        <v>700</v>
      </c>
      <c r="F105" s="9">
        <v>12289507</v>
      </c>
      <c r="G105" s="1">
        <v>69</v>
      </c>
      <c r="H105" s="1">
        <v>30</v>
      </c>
      <c r="I105" s="3">
        <f>Tabla158[[#This Row],[Piezas NOK]]/Tabla158[[#This Row],[Piezas OK]]</f>
        <v>0.43478260869565216</v>
      </c>
      <c r="J105" s="1">
        <f t="shared" si="13"/>
        <v>0.56521739130434789</v>
      </c>
      <c r="K105" s="5">
        <f>Tabla158[[#This Row],[FTQ]]</f>
        <v>0.56521739130434789</v>
      </c>
      <c r="M105" s="4">
        <v>46289</v>
      </c>
      <c r="N105" s="1">
        <f>WEEKNUM(Tabla2610[[#This Row],[07/09/2026]])</f>
        <v>39</v>
      </c>
      <c r="O105" s="1" t="s">
        <v>30</v>
      </c>
      <c r="P105" s="1">
        <v>700</v>
      </c>
      <c r="Q105" s="9">
        <v>12289507</v>
      </c>
      <c r="R105" s="1" t="s">
        <v>87</v>
      </c>
      <c r="S105" s="1">
        <v>10</v>
      </c>
    </row>
    <row r="106" spans="2:19" x14ac:dyDescent="0.3">
      <c r="B106" s="4">
        <v>46289</v>
      </c>
      <c r="C106" s="1">
        <f>WEEKNUM(Tabla158[[#This Row],[Fecha]])</f>
        <v>39</v>
      </c>
      <c r="D106" s="1" t="s">
        <v>30</v>
      </c>
      <c r="E106" s="1" t="s">
        <v>66</v>
      </c>
      <c r="F106" s="9">
        <v>12289507</v>
      </c>
      <c r="G106" s="1">
        <v>96</v>
      </c>
      <c r="H106" s="1">
        <v>3</v>
      </c>
      <c r="I106" s="3">
        <f>Tabla158[[#This Row],[Piezas NOK]]/Tabla158[[#This Row],[Piezas OK]]</f>
        <v>3.125E-2</v>
      </c>
      <c r="J106" s="1">
        <f t="shared" si="13"/>
        <v>0.96875</v>
      </c>
      <c r="K106" s="5">
        <f>Tabla158[[#This Row],[FTQ]]</f>
        <v>0.96875</v>
      </c>
      <c r="M106" s="4">
        <v>46289</v>
      </c>
      <c r="N106" s="1">
        <f>WEEKNUM(Tabla2610[[#This Row],[07/09/2026]])</f>
        <v>39</v>
      </c>
      <c r="O106" s="1" t="s">
        <v>30</v>
      </c>
      <c r="P106" s="1">
        <v>800</v>
      </c>
      <c r="Q106" s="9">
        <v>12289507</v>
      </c>
      <c r="R106" s="1" t="s">
        <v>34</v>
      </c>
      <c r="S106" s="1">
        <v>3</v>
      </c>
    </row>
    <row r="107" spans="2:19" x14ac:dyDescent="0.3">
      <c r="B107" s="4">
        <v>46289</v>
      </c>
      <c r="C107" s="1">
        <f>WEEKNUM(Tabla158[[#This Row],[Fecha]])</f>
        <v>39</v>
      </c>
      <c r="D107" s="1" t="s">
        <v>30</v>
      </c>
      <c r="E107" s="1" t="s">
        <v>59</v>
      </c>
      <c r="F107" s="9">
        <v>12289507</v>
      </c>
      <c r="G107" s="1">
        <v>80</v>
      </c>
      <c r="H107" s="1">
        <v>20</v>
      </c>
      <c r="I107" s="3">
        <f>Tabla158[[#This Row],[Piezas NOK]]/Tabla158[[#This Row],[Piezas OK]]</f>
        <v>0.25</v>
      </c>
      <c r="J107" s="1">
        <f t="shared" si="13"/>
        <v>0.75</v>
      </c>
      <c r="K107" s="5">
        <f>Tabla158[[#This Row],[FTQ]]</f>
        <v>0.75</v>
      </c>
      <c r="M107" s="4">
        <v>46289</v>
      </c>
      <c r="N107" s="1">
        <f>WEEKNUM(Tabla2610[[#This Row],[07/09/2026]])</f>
        <v>39</v>
      </c>
      <c r="O107" s="1" t="s">
        <v>30</v>
      </c>
      <c r="P107" s="1" t="s">
        <v>66</v>
      </c>
      <c r="Q107" s="9">
        <v>12289507</v>
      </c>
      <c r="R107" s="1" t="s">
        <v>103</v>
      </c>
      <c r="S107" s="1">
        <v>8</v>
      </c>
    </row>
    <row r="108" spans="2:19" x14ac:dyDescent="0.3">
      <c r="B108" s="4">
        <v>46289</v>
      </c>
      <c r="C108" s="1">
        <f>WEEKNUM(Tabla158[[#This Row],[Fecha]])</f>
        <v>39</v>
      </c>
      <c r="D108" s="1" t="s">
        <v>30</v>
      </c>
      <c r="E108" s="1" t="s">
        <v>60</v>
      </c>
      <c r="F108" s="9">
        <v>12289507</v>
      </c>
      <c r="G108" s="1">
        <v>77</v>
      </c>
      <c r="H108" s="1">
        <v>23</v>
      </c>
      <c r="I108" s="3">
        <f>Tabla158[[#This Row],[Piezas NOK]]/Tabla158[[#This Row],[Piezas OK]]</f>
        <v>0.29870129870129869</v>
      </c>
      <c r="J108" s="1">
        <f t="shared" si="13"/>
        <v>0.70129870129870131</v>
      </c>
      <c r="K108" s="5">
        <f>Tabla158[[#This Row],[FTQ]]</f>
        <v>0.70129870129870131</v>
      </c>
      <c r="M108" s="4">
        <v>46289</v>
      </c>
      <c r="N108" s="1">
        <f>WEEKNUM(Tabla2610[[#This Row],[07/09/2026]])</f>
        <v>39</v>
      </c>
      <c r="O108" s="1" t="s">
        <v>30</v>
      </c>
      <c r="P108" s="1" t="s">
        <v>66</v>
      </c>
      <c r="Q108" s="9">
        <v>12289507</v>
      </c>
      <c r="R108" s="1" t="s">
        <v>98</v>
      </c>
      <c r="S108" s="1">
        <v>5</v>
      </c>
    </row>
    <row r="109" spans="2:19" x14ac:dyDescent="0.3">
      <c r="B109" s="4">
        <v>46289</v>
      </c>
      <c r="C109" s="1">
        <f>WEEKNUM(Tabla158[[#This Row],[Fecha]])</f>
        <v>39</v>
      </c>
      <c r="D109" s="1" t="s">
        <v>30</v>
      </c>
      <c r="E109" s="1" t="s">
        <v>76</v>
      </c>
      <c r="F109" s="9">
        <v>12289507</v>
      </c>
      <c r="G109" s="1">
        <v>70</v>
      </c>
      <c r="H109" s="1">
        <v>4</v>
      </c>
      <c r="I109" s="3">
        <f>Tabla158[[#This Row],[Piezas NOK]]/Tabla158[[#This Row],[Piezas OK]]</f>
        <v>5.7142857142857141E-2</v>
      </c>
      <c r="J109" s="1">
        <f t="shared" si="13"/>
        <v>0.94285714285714284</v>
      </c>
      <c r="K109" s="5">
        <f>Tabla158[[#This Row],[FTQ]]</f>
        <v>0.94285714285714284</v>
      </c>
      <c r="M109" s="4">
        <v>46289</v>
      </c>
      <c r="N109" s="1">
        <f>WEEKNUM(Tabla2610[[#This Row],[07/09/2026]])</f>
        <v>39</v>
      </c>
      <c r="O109" s="1" t="s">
        <v>30</v>
      </c>
      <c r="P109" s="1" t="s">
        <v>66</v>
      </c>
      <c r="Q109" s="9">
        <v>12289507</v>
      </c>
      <c r="R109" s="1" t="s">
        <v>104</v>
      </c>
      <c r="S109" s="1">
        <v>3</v>
      </c>
    </row>
    <row r="110" spans="2:19" x14ac:dyDescent="0.3">
      <c r="B110" s="4">
        <v>46289</v>
      </c>
      <c r="C110" s="1">
        <f>WEEKNUM(Tabla158[[#This Row],[Fecha]])</f>
        <v>39</v>
      </c>
      <c r="D110" s="1" t="s">
        <v>30</v>
      </c>
      <c r="E110" s="1" t="s">
        <v>77</v>
      </c>
      <c r="F110" s="9">
        <v>12289507</v>
      </c>
      <c r="G110" s="1">
        <v>39</v>
      </c>
      <c r="H110" s="1">
        <v>12</v>
      </c>
      <c r="I110" s="3">
        <f>Tabla158[[#This Row],[Piezas NOK]]/Tabla158[[#This Row],[Piezas OK]]</f>
        <v>0.30769230769230771</v>
      </c>
      <c r="J110" s="1">
        <f t="shared" si="13"/>
        <v>0.69230769230769229</v>
      </c>
      <c r="K110" s="5">
        <f>Tabla158[[#This Row],[FTQ]]</f>
        <v>0.69230769230769229</v>
      </c>
      <c r="M110" s="4">
        <v>46289</v>
      </c>
      <c r="N110" s="1">
        <f>WEEKNUM(Tabla2610[[#This Row],[07/09/2026]])</f>
        <v>39</v>
      </c>
      <c r="O110" s="1" t="s">
        <v>30</v>
      </c>
      <c r="P110" s="1" t="s">
        <v>66</v>
      </c>
      <c r="Q110" s="9">
        <v>12289507</v>
      </c>
      <c r="R110" s="1" t="s">
        <v>103</v>
      </c>
      <c r="S110" s="1">
        <v>2</v>
      </c>
    </row>
    <row r="111" spans="2:19" x14ac:dyDescent="0.3">
      <c r="B111" s="4">
        <v>46295</v>
      </c>
      <c r="C111" s="1">
        <f>WEEKNUM(Tabla158[[#This Row],[Fecha]])</f>
        <v>40</v>
      </c>
      <c r="D111" s="1" t="s">
        <v>15</v>
      </c>
      <c r="E111" s="1">
        <v>100</v>
      </c>
      <c r="F111" s="9">
        <v>10532587</v>
      </c>
      <c r="G111" s="1">
        <v>37</v>
      </c>
      <c r="H111" s="1">
        <v>4</v>
      </c>
      <c r="I111" s="3">
        <f>Tabla158[[#This Row],[Piezas NOK]]/Tabla158[[#This Row],[Piezas OK]]</f>
        <v>0.10810810810810811</v>
      </c>
      <c r="J111" s="1">
        <f t="shared" ref="J111:J120" si="14">ABS(G$3-I111)</f>
        <v>0.89189189189189189</v>
      </c>
      <c r="K111" s="5">
        <f>Tabla158[[#This Row],[FTQ]]</f>
        <v>0.89189189189189189</v>
      </c>
      <c r="M111" s="4">
        <v>46289</v>
      </c>
      <c r="N111" s="1">
        <f>WEEKNUM(Tabla2610[[#This Row],[07/09/2026]])</f>
        <v>39</v>
      </c>
      <c r="O111" s="1" t="s">
        <v>30</v>
      </c>
      <c r="P111" s="1" t="s">
        <v>66</v>
      </c>
      <c r="Q111" s="9">
        <v>12289507</v>
      </c>
      <c r="R111" s="1" t="s">
        <v>104</v>
      </c>
      <c r="S111" s="1">
        <v>1</v>
      </c>
    </row>
    <row r="112" spans="2:19" x14ac:dyDescent="0.3">
      <c r="B112" s="4">
        <v>46295</v>
      </c>
      <c r="C112" s="1">
        <f>WEEKNUM(Tabla158[[#This Row],[Fecha]])</f>
        <v>40</v>
      </c>
      <c r="D112" s="1" t="s">
        <v>15</v>
      </c>
      <c r="E112" s="1">
        <v>150</v>
      </c>
      <c r="F112" s="9">
        <v>10532587</v>
      </c>
      <c r="G112" s="1">
        <v>37</v>
      </c>
      <c r="H112" s="1">
        <v>0</v>
      </c>
      <c r="I112" s="3">
        <f>Tabla158[[#This Row],[Piezas NOK]]/Tabla158[[#This Row],[Piezas OK]]</f>
        <v>0</v>
      </c>
      <c r="J112" s="1">
        <f t="shared" si="14"/>
        <v>1</v>
      </c>
      <c r="K112" s="5">
        <f>Tabla158[[#This Row],[FTQ]]</f>
        <v>1</v>
      </c>
      <c r="M112" s="4">
        <v>46289</v>
      </c>
      <c r="N112" s="1">
        <f>WEEKNUM(Tabla2610[[#This Row],[07/09/2026]])</f>
        <v>39</v>
      </c>
      <c r="O112" s="1" t="s">
        <v>30</v>
      </c>
      <c r="P112" s="1" t="s">
        <v>66</v>
      </c>
      <c r="Q112" s="9">
        <v>12289507</v>
      </c>
      <c r="R112" s="1" t="s">
        <v>100</v>
      </c>
      <c r="S112" s="1">
        <v>1</v>
      </c>
    </row>
    <row r="113" spans="2:19" x14ac:dyDescent="0.3">
      <c r="B113" s="4">
        <v>46295</v>
      </c>
      <c r="C113" s="1">
        <f>WEEKNUM(Tabla158[[#This Row],[Fecha]])</f>
        <v>40</v>
      </c>
      <c r="D113" s="1" t="s">
        <v>15</v>
      </c>
      <c r="E113" s="1">
        <v>200</v>
      </c>
      <c r="F113" s="9">
        <v>10532587</v>
      </c>
      <c r="G113" s="1">
        <v>35</v>
      </c>
      <c r="H113" s="1">
        <v>0</v>
      </c>
      <c r="I113" s="3">
        <f>Tabla158[[#This Row],[Piezas NOK]]/Tabla158[[#This Row],[Piezas OK]]</f>
        <v>0</v>
      </c>
      <c r="J113" s="1">
        <f t="shared" si="14"/>
        <v>1</v>
      </c>
      <c r="K113" s="5">
        <f>Tabla158[[#This Row],[FTQ]]</f>
        <v>1</v>
      </c>
      <c r="M113" s="4">
        <v>46289</v>
      </c>
      <c r="N113" s="1">
        <f>WEEKNUM(Tabla2610[[#This Row],[07/09/2026]])</f>
        <v>39</v>
      </c>
      <c r="O113" s="1" t="s">
        <v>30</v>
      </c>
      <c r="P113" s="1" t="s">
        <v>59</v>
      </c>
      <c r="Q113" s="9">
        <v>12289507</v>
      </c>
      <c r="R113" s="1" t="s">
        <v>105</v>
      </c>
      <c r="S113" s="1">
        <v>18</v>
      </c>
    </row>
    <row r="114" spans="2:19" x14ac:dyDescent="0.3">
      <c r="B114" s="4">
        <v>46295</v>
      </c>
      <c r="C114" s="1">
        <f>WEEKNUM(Tabla158[[#This Row],[Fecha]])</f>
        <v>40</v>
      </c>
      <c r="D114" s="1" t="s">
        <v>15</v>
      </c>
      <c r="E114" s="1">
        <v>300</v>
      </c>
      <c r="F114" s="9">
        <v>10532587</v>
      </c>
      <c r="G114" s="1">
        <v>35</v>
      </c>
      <c r="H114" s="1">
        <v>0</v>
      </c>
      <c r="I114" s="3">
        <f>Tabla158[[#This Row],[Piezas NOK]]/Tabla158[[#This Row],[Piezas OK]]</f>
        <v>0</v>
      </c>
      <c r="J114" s="1">
        <f t="shared" si="14"/>
        <v>1</v>
      </c>
      <c r="K114" s="5">
        <f>Tabla158[[#This Row],[FTQ]]</f>
        <v>1</v>
      </c>
      <c r="M114" s="4">
        <v>46289</v>
      </c>
      <c r="N114" s="1">
        <f>WEEKNUM(Tabla2610[[#This Row],[07/09/2026]])</f>
        <v>39</v>
      </c>
      <c r="O114" s="1" t="s">
        <v>30</v>
      </c>
      <c r="P114" s="1" t="s">
        <v>59</v>
      </c>
      <c r="Q114" s="9">
        <v>12289507</v>
      </c>
      <c r="R114" s="1" t="s">
        <v>106</v>
      </c>
      <c r="S114" s="1">
        <v>3</v>
      </c>
    </row>
    <row r="115" spans="2:19" x14ac:dyDescent="0.3">
      <c r="B115" s="4">
        <v>46295</v>
      </c>
      <c r="C115" s="1">
        <f>WEEKNUM(Tabla158[[#This Row],[Fecha]])</f>
        <v>40</v>
      </c>
      <c r="D115" s="1" t="s">
        <v>15</v>
      </c>
      <c r="E115" s="1" t="s">
        <v>16</v>
      </c>
      <c r="F115" s="9">
        <v>10532587</v>
      </c>
      <c r="G115" s="1">
        <v>18</v>
      </c>
      <c r="H115" s="1">
        <v>6</v>
      </c>
      <c r="I115" s="3">
        <f>Tabla158[[#This Row],[Piezas NOK]]/Tabla158[[#This Row],[Piezas OK]]</f>
        <v>0.33333333333333331</v>
      </c>
      <c r="J115" s="1">
        <f t="shared" si="14"/>
        <v>0.66666666666666674</v>
      </c>
      <c r="K115" s="5">
        <f>Tabla158[[#This Row],[FTQ]]</f>
        <v>0.66666666666666674</v>
      </c>
      <c r="M115" s="4">
        <v>46289</v>
      </c>
      <c r="N115" s="1">
        <f>WEEKNUM(Tabla2610[[#This Row],[07/09/2026]])</f>
        <v>39</v>
      </c>
      <c r="O115" s="1" t="s">
        <v>30</v>
      </c>
      <c r="P115" s="1" t="s">
        <v>59</v>
      </c>
      <c r="Q115" s="9">
        <v>12289507</v>
      </c>
      <c r="R115" s="1" t="s">
        <v>107</v>
      </c>
      <c r="S115" s="1">
        <v>2</v>
      </c>
    </row>
    <row r="116" spans="2:19" x14ac:dyDescent="0.3">
      <c r="B116" s="4">
        <v>46297</v>
      </c>
      <c r="C116" s="1">
        <f>WEEKNUM(Tabla158[[#This Row],[Fecha]])</f>
        <v>40</v>
      </c>
      <c r="D116" s="1" t="s">
        <v>15</v>
      </c>
      <c r="E116" s="1">
        <v>100</v>
      </c>
      <c r="F116" s="9">
        <v>10532587</v>
      </c>
      <c r="G116" s="1">
        <v>113</v>
      </c>
      <c r="H116" s="1">
        <v>0</v>
      </c>
      <c r="I116" s="3">
        <f>Tabla158[[#This Row],[Piezas NOK]]/Tabla158[[#This Row],[Piezas OK]]</f>
        <v>0</v>
      </c>
      <c r="J116" s="1">
        <f t="shared" si="14"/>
        <v>1</v>
      </c>
      <c r="K116" s="5">
        <f>Tabla158[[#This Row],[FTQ]]</f>
        <v>1</v>
      </c>
      <c r="M116" s="4">
        <v>46295</v>
      </c>
      <c r="N116" s="1">
        <f>WEEKNUM(Tabla2610[[#This Row],[07/09/2026]])</f>
        <v>40</v>
      </c>
      <c r="O116" s="1" t="s">
        <v>15</v>
      </c>
      <c r="P116" s="1">
        <v>100</v>
      </c>
      <c r="Q116" s="9">
        <v>10532587</v>
      </c>
      <c r="R116" s="1" t="s">
        <v>44</v>
      </c>
      <c r="S116" s="1">
        <v>4</v>
      </c>
    </row>
    <row r="117" spans="2:19" x14ac:dyDescent="0.3">
      <c r="B117" s="4">
        <v>46297</v>
      </c>
      <c r="C117" s="1">
        <f>WEEKNUM(Tabla158[[#This Row],[Fecha]])</f>
        <v>40</v>
      </c>
      <c r="D117" s="1" t="s">
        <v>15</v>
      </c>
      <c r="E117" s="1">
        <v>150</v>
      </c>
      <c r="F117" s="9">
        <v>10532587</v>
      </c>
      <c r="G117" s="1">
        <v>113</v>
      </c>
      <c r="H117" s="1">
        <v>10</v>
      </c>
      <c r="I117" s="3">
        <f>Tabla158[[#This Row],[Piezas NOK]]/Tabla158[[#This Row],[Piezas OK]]</f>
        <v>8.8495575221238937E-2</v>
      </c>
      <c r="J117" s="1">
        <f t="shared" si="14"/>
        <v>0.91150442477876104</v>
      </c>
      <c r="K117" s="5">
        <f>Tabla158[[#This Row],[FTQ]]</f>
        <v>0.91150442477876104</v>
      </c>
      <c r="M117" s="4">
        <v>46295</v>
      </c>
      <c r="N117" s="1">
        <f>WEEKNUM(Tabla2610[[#This Row],[07/09/2026]])</f>
        <v>40</v>
      </c>
      <c r="O117" s="1" t="s">
        <v>15</v>
      </c>
      <c r="P117" s="1">
        <v>400</v>
      </c>
      <c r="Q117" s="9">
        <v>10532587</v>
      </c>
      <c r="R117" s="1" t="s">
        <v>91</v>
      </c>
      <c r="S117" s="1">
        <v>6</v>
      </c>
    </row>
    <row r="118" spans="2:19" x14ac:dyDescent="0.3">
      <c r="B118" s="4">
        <v>46297</v>
      </c>
      <c r="C118" s="1">
        <f>WEEKNUM(Tabla158[[#This Row],[Fecha]])</f>
        <v>40</v>
      </c>
      <c r="D118" s="1" t="s">
        <v>15</v>
      </c>
      <c r="E118" s="1">
        <v>200</v>
      </c>
      <c r="F118" s="9">
        <v>10532587</v>
      </c>
      <c r="G118" s="1">
        <v>113</v>
      </c>
      <c r="H118" s="1">
        <v>11</v>
      </c>
      <c r="I118" s="3">
        <f>Tabla158[[#This Row],[Piezas NOK]]/Tabla158[[#This Row],[Piezas OK]]</f>
        <v>9.7345132743362831E-2</v>
      </c>
      <c r="J118" s="1">
        <f t="shared" si="14"/>
        <v>0.90265486725663713</v>
      </c>
      <c r="K118" s="5">
        <f>Tabla158[[#This Row],[FTQ]]</f>
        <v>0.90265486725663713</v>
      </c>
      <c r="M118" s="4">
        <v>46297</v>
      </c>
      <c r="N118" s="1">
        <f>WEEKNUM(Tabla2610[[#This Row],[07/09/2026]])</f>
        <v>40</v>
      </c>
      <c r="O118" s="1" t="s">
        <v>15</v>
      </c>
      <c r="P118" s="1">
        <v>150</v>
      </c>
      <c r="Q118" s="9">
        <v>10532587</v>
      </c>
      <c r="R118" s="1" t="s">
        <v>88</v>
      </c>
      <c r="S118" s="1">
        <v>10</v>
      </c>
    </row>
    <row r="119" spans="2:19" x14ac:dyDescent="0.3">
      <c r="B119" s="4">
        <v>46297</v>
      </c>
      <c r="C119" s="1">
        <f>WEEKNUM(Tabla158[[#This Row],[Fecha]])</f>
        <v>40</v>
      </c>
      <c r="D119" s="1" t="s">
        <v>15</v>
      </c>
      <c r="E119" s="1">
        <v>300</v>
      </c>
      <c r="F119" s="9">
        <v>10532587</v>
      </c>
      <c r="G119" s="1">
        <v>113</v>
      </c>
      <c r="H119" s="1">
        <v>0</v>
      </c>
      <c r="I119" s="3">
        <f>Tabla158[[#This Row],[Piezas NOK]]/Tabla158[[#This Row],[Piezas OK]]</f>
        <v>0</v>
      </c>
      <c r="J119" s="1">
        <f t="shared" si="14"/>
        <v>1</v>
      </c>
      <c r="K119" s="5">
        <f>Tabla158[[#This Row],[FTQ]]</f>
        <v>1</v>
      </c>
      <c r="M119" s="4">
        <v>46297</v>
      </c>
      <c r="N119" s="1">
        <f>WEEKNUM(Tabla2610[[#This Row],[07/09/2026]])</f>
        <v>40</v>
      </c>
      <c r="O119" s="1" t="s">
        <v>15</v>
      </c>
      <c r="P119" s="1">
        <v>200</v>
      </c>
      <c r="Q119" s="9">
        <v>10532587</v>
      </c>
      <c r="R119" s="1" t="s">
        <v>89</v>
      </c>
      <c r="S119" s="1">
        <v>6</v>
      </c>
    </row>
    <row r="120" spans="2:19" x14ac:dyDescent="0.3">
      <c r="B120" s="4">
        <v>46297</v>
      </c>
      <c r="C120" s="1">
        <f>WEEKNUM(Tabla158[[#This Row],[Fecha]])</f>
        <v>40</v>
      </c>
      <c r="D120" s="1" t="s">
        <v>15</v>
      </c>
      <c r="E120" s="1" t="s">
        <v>16</v>
      </c>
      <c r="F120" s="9">
        <v>10532587</v>
      </c>
      <c r="G120" s="1">
        <v>72</v>
      </c>
      <c r="H120" s="1">
        <v>30</v>
      </c>
      <c r="I120" s="3">
        <f>Tabla158[[#This Row],[Piezas NOK]]/Tabla158[[#This Row],[Piezas OK]]</f>
        <v>0.41666666666666669</v>
      </c>
      <c r="J120" s="1">
        <f t="shared" si="14"/>
        <v>0.58333333333333326</v>
      </c>
      <c r="K120" s="5">
        <f>Tabla158[[#This Row],[FTQ]]</f>
        <v>0.58333333333333326</v>
      </c>
      <c r="M120" s="4">
        <v>46297</v>
      </c>
      <c r="N120" s="1">
        <f>WEEKNUM(Tabla2610[[#This Row],[07/09/2026]])</f>
        <v>40</v>
      </c>
      <c r="O120" s="1" t="s">
        <v>15</v>
      </c>
      <c r="P120" s="1">
        <v>200</v>
      </c>
      <c r="Q120" s="9">
        <v>10532587</v>
      </c>
      <c r="R120" s="1" t="s">
        <v>90</v>
      </c>
      <c r="S120" s="1">
        <v>5</v>
      </c>
    </row>
    <row r="121" spans="2:19" x14ac:dyDescent="0.3">
      <c r="B121" s="4">
        <v>46297</v>
      </c>
      <c r="C121" s="1">
        <f>WEEKNUM(Tabla158[[#This Row],[Fecha]])</f>
        <v>40</v>
      </c>
      <c r="D121" s="1" t="s">
        <v>30</v>
      </c>
      <c r="E121" s="1">
        <v>100</v>
      </c>
      <c r="F121" s="9">
        <v>12289507</v>
      </c>
      <c r="G121" s="1">
        <v>71</v>
      </c>
      <c r="H121" s="1">
        <v>0</v>
      </c>
      <c r="I121" s="3">
        <f>Tabla158[[#This Row],[Piezas NOK]]/Tabla158[[#This Row],[Piezas OK]]</f>
        <v>0</v>
      </c>
      <c r="J121" s="1">
        <f t="shared" ref="J121:J127" si="15">ABS(G$3-I121)</f>
        <v>1</v>
      </c>
      <c r="K121" s="5">
        <f>Tabla158[[#This Row],[FTQ]]</f>
        <v>1</v>
      </c>
      <c r="M121" s="4">
        <v>46297</v>
      </c>
      <c r="N121" s="1">
        <f>WEEKNUM(Tabla2610[[#This Row],[07/09/2026]])</f>
        <v>40</v>
      </c>
      <c r="O121" s="1" t="s">
        <v>15</v>
      </c>
      <c r="P121" s="1" t="s">
        <v>16</v>
      </c>
      <c r="Q121" s="9">
        <v>10532587</v>
      </c>
      <c r="R121" s="1" t="s">
        <v>27</v>
      </c>
      <c r="S121" s="1">
        <v>11</v>
      </c>
    </row>
    <row r="122" spans="2:19" x14ac:dyDescent="0.3">
      <c r="B122" s="4">
        <v>46297</v>
      </c>
      <c r="C122" s="1">
        <f>WEEKNUM(Tabla158[[#This Row],[Fecha]])</f>
        <v>40</v>
      </c>
      <c r="D122" s="1" t="s">
        <v>30</v>
      </c>
      <c r="E122" s="1">
        <v>200</v>
      </c>
      <c r="F122" s="9">
        <v>12289507</v>
      </c>
      <c r="G122" s="1">
        <v>68</v>
      </c>
      <c r="H122" s="1">
        <v>3</v>
      </c>
      <c r="I122" s="3">
        <f>Tabla158[[#This Row],[Piezas NOK]]/Tabla158[[#This Row],[Piezas OK]]</f>
        <v>4.4117647058823532E-2</v>
      </c>
      <c r="J122" s="1">
        <f t="shared" si="15"/>
        <v>0.95588235294117652</v>
      </c>
      <c r="K122" s="5">
        <f>Tabla158[[#This Row],[FTQ]]</f>
        <v>0.95588235294117652</v>
      </c>
      <c r="M122" s="4">
        <v>46297</v>
      </c>
      <c r="N122" s="1">
        <f>WEEKNUM(Tabla2610[[#This Row],[07/09/2026]])</f>
        <v>40</v>
      </c>
      <c r="O122" s="1" t="s">
        <v>15</v>
      </c>
      <c r="P122" s="1" t="s">
        <v>16</v>
      </c>
      <c r="Q122" s="9">
        <v>10532587</v>
      </c>
      <c r="R122" s="1" t="s">
        <v>92</v>
      </c>
      <c r="S122" s="1">
        <v>17</v>
      </c>
    </row>
    <row r="123" spans="2:19" x14ac:dyDescent="0.3">
      <c r="B123" s="4">
        <v>46297</v>
      </c>
      <c r="C123" s="1">
        <f>WEEKNUM(Tabla158[[#This Row],[Fecha]])</f>
        <v>40</v>
      </c>
      <c r="D123" s="1" t="s">
        <v>30</v>
      </c>
      <c r="E123" s="1">
        <v>300</v>
      </c>
      <c r="F123" s="9">
        <v>12289507</v>
      </c>
      <c r="G123" s="1">
        <v>68</v>
      </c>
      <c r="H123" s="1">
        <v>3</v>
      </c>
      <c r="I123" s="3">
        <f>Tabla158[[#This Row],[Piezas NOK]]/Tabla158[[#This Row],[Piezas OK]]</f>
        <v>4.4117647058823532E-2</v>
      </c>
      <c r="J123" s="1">
        <f t="shared" si="15"/>
        <v>0.95588235294117652</v>
      </c>
      <c r="K123" s="5">
        <f>Tabla158[[#This Row],[FTQ]]</f>
        <v>0.95588235294117652</v>
      </c>
      <c r="M123" s="4">
        <v>46297</v>
      </c>
      <c r="N123" s="1">
        <f>WEEKNUM(Tabla2610[[#This Row],[07/09/2026]])</f>
        <v>40</v>
      </c>
      <c r="O123" s="1" t="s">
        <v>15</v>
      </c>
      <c r="P123" s="1" t="s">
        <v>16</v>
      </c>
      <c r="Q123" s="9">
        <v>10532587</v>
      </c>
      <c r="R123" s="1" t="s">
        <v>93</v>
      </c>
      <c r="S123" s="1">
        <v>2</v>
      </c>
    </row>
    <row r="124" spans="2:19" x14ac:dyDescent="0.3">
      <c r="B124" s="4">
        <v>46297</v>
      </c>
      <c r="C124" s="1">
        <f>WEEKNUM(Tabla158[[#This Row],[Fecha]])</f>
        <v>40</v>
      </c>
      <c r="D124" s="1" t="s">
        <v>30</v>
      </c>
      <c r="E124" s="1">
        <v>400</v>
      </c>
      <c r="F124" s="9">
        <v>12289507</v>
      </c>
      <c r="G124" s="1">
        <v>68</v>
      </c>
      <c r="H124" s="1">
        <v>0</v>
      </c>
      <c r="I124" s="3">
        <f>Tabla158[[#This Row],[Piezas NOK]]/Tabla158[[#This Row],[Piezas OK]]</f>
        <v>0</v>
      </c>
      <c r="J124" s="1">
        <f t="shared" si="15"/>
        <v>1</v>
      </c>
      <c r="K124" s="5">
        <f>Tabla158[[#This Row],[FTQ]]</f>
        <v>1</v>
      </c>
      <c r="M124" s="4">
        <v>46297</v>
      </c>
      <c r="N124" s="1">
        <f>WEEKNUM(Tabla2610[[#This Row],[07/09/2026]])</f>
        <v>40</v>
      </c>
      <c r="O124" s="1" t="s">
        <v>30</v>
      </c>
      <c r="P124" s="1">
        <v>200</v>
      </c>
      <c r="Q124" s="9">
        <v>12289507</v>
      </c>
      <c r="R124" s="1" t="s">
        <v>95</v>
      </c>
      <c r="S124" s="1">
        <v>3</v>
      </c>
    </row>
    <row r="125" spans="2:19" x14ac:dyDescent="0.3">
      <c r="B125" s="4">
        <v>46297</v>
      </c>
      <c r="C125" s="1">
        <f>WEEKNUM(Tabla158[[#This Row],[Fecha]])</f>
        <v>40</v>
      </c>
      <c r="D125" s="1" t="s">
        <v>30</v>
      </c>
      <c r="E125" s="1">
        <v>500</v>
      </c>
      <c r="F125" s="9">
        <v>12289507</v>
      </c>
      <c r="G125" s="1">
        <v>68</v>
      </c>
      <c r="H125" s="1">
        <v>0</v>
      </c>
      <c r="I125" s="3">
        <f>Tabla158[[#This Row],[Piezas NOK]]/Tabla158[[#This Row],[Piezas OK]]</f>
        <v>0</v>
      </c>
      <c r="J125" s="1">
        <f t="shared" si="15"/>
        <v>1</v>
      </c>
      <c r="K125" s="5">
        <f>Tabla158[[#This Row],[FTQ]]</f>
        <v>1</v>
      </c>
      <c r="M125" s="4">
        <v>46297</v>
      </c>
      <c r="N125" s="1">
        <f>WEEKNUM(Tabla2610[[#This Row],[07/09/2026]])</f>
        <v>40</v>
      </c>
      <c r="O125" s="1" t="s">
        <v>30</v>
      </c>
      <c r="P125" s="1">
        <v>300</v>
      </c>
      <c r="Q125" s="9">
        <v>12289507</v>
      </c>
      <c r="R125" s="1" t="s">
        <v>96</v>
      </c>
      <c r="S125" s="1">
        <v>3</v>
      </c>
    </row>
    <row r="126" spans="2:19" x14ac:dyDescent="0.3">
      <c r="B126" s="4">
        <v>46297</v>
      </c>
      <c r="C126" s="1">
        <f>WEEKNUM(Tabla158[[#This Row],[Fecha]])</f>
        <v>40</v>
      </c>
      <c r="D126" s="1" t="s">
        <v>30</v>
      </c>
      <c r="E126" s="1">
        <v>600</v>
      </c>
      <c r="F126" s="9">
        <v>12289507</v>
      </c>
      <c r="G126" s="1">
        <v>68</v>
      </c>
      <c r="H126" s="1">
        <v>0</v>
      </c>
      <c r="I126" s="3">
        <f>Tabla158[[#This Row],[Piezas NOK]]/Tabla158[[#This Row],[Piezas OK]]</f>
        <v>0</v>
      </c>
      <c r="J126" s="1">
        <f t="shared" si="15"/>
        <v>1</v>
      </c>
      <c r="K126" s="5">
        <f>Tabla158[[#This Row],[FTQ]]</f>
        <v>1</v>
      </c>
      <c r="M126" s="4">
        <v>46297</v>
      </c>
      <c r="N126" s="1">
        <f>WEEKNUM(Tabla2610[[#This Row],[07/09/2026]])</f>
        <v>40</v>
      </c>
      <c r="O126" s="1" t="s">
        <v>30</v>
      </c>
      <c r="P126" s="1">
        <v>700</v>
      </c>
      <c r="Q126" s="9">
        <v>12289507</v>
      </c>
      <c r="R126" s="1" t="s">
        <v>97</v>
      </c>
      <c r="S126" s="1">
        <v>3</v>
      </c>
    </row>
    <row r="127" spans="2:19" x14ac:dyDescent="0.3">
      <c r="B127" s="4">
        <v>46297</v>
      </c>
      <c r="C127" s="1">
        <f>WEEKNUM(Tabla158[[#This Row],[Fecha]])</f>
        <v>40</v>
      </c>
      <c r="D127" s="1" t="s">
        <v>30</v>
      </c>
      <c r="E127" s="1">
        <v>700</v>
      </c>
      <c r="F127" s="9">
        <v>12289507</v>
      </c>
      <c r="G127" s="1">
        <v>55</v>
      </c>
      <c r="H127" s="1">
        <v>3</v>
      </c>
      <c r="I127" s="3">
        <f>Tabla158[[#This Row],[Piezas NOK]]/Tabla158[[#This Row],[Piezas OK]]</f>
        <v>5.4545454545454543E-2</v>
      </c>
      <c r="J127" s="1">
        <f t="shared" si="15"/>
        <v>0.94545454545454544</v>
      </c>
      <c r="K127" s="5">
        <f>Tabla158[[#This Row],[FTQ]]</f>
        <v>0.94545454545454544</v>
      </c>
      <c r="M127" s="4">
        <v>46297</v>
      </c>
      <c r="N127" s="1">
        <f>WEEKNUM(Tabla2610[[#This Row],[07/09/2026]])</f>
        <v>40</v>
      </c>
      <c r="O127" s="1" t="s">
        <v>30</v>
      </c>
      <c r="P127" s="1" t="s">
        <v>66</v>
      </c>
      <c r="Q127" s="9">
        <v>12289507</v>
      </c>
      <c r="R127" s="1" t="s">
        <v>98</v>
      </c>
      <c r="S127" s="1">
        <v>11</v>
      </c>
    </row>
    <row r="128" spans="2:19" x14ac:dyDescent="0.3">
      <c r="B128" s="4">
        <v>46297</v>
      </c>
      <c r="C128" s="1">
        <f>WEEKNUM(Tabla158[[#This Row],[Fecha]])</f>
        <v>40</v>
      </c>
      <c r="D128" s="1" t="s">
        <v>30</v>
      </c>
      <c r="E128" s="1">
        <v>800</v>
      </c>
      <c r="F128" s="9">
        <v>12289507</v>
      </c>
      <c r="G128" s="1">
        <v>54</v>
      </c>
      <c r="H128" s="1">
        <v>0</v>
      </c>
      <c r="I128" s="3">
        <f>Tabla158[[#This Row],[Piezas NOK]]/Tabla158[[#This Row],[Piezas OK]]</f>
        <v>0</v>
      </c>
      <c r="J128" s="1">
        <f t="shared" ref="J128:J133" si="16">ABS(G$3-I128)</f>
        <v>1</v>
      </c>
      <c r="K128" s="5">
        <f>Tabla158[[#This Row],[FTQ]]</f>
        <v>1</v>
      </c>
      <c r="M128" s="4">
        <v>46297</v>
      </c>
      <c r="N128" s="1">
        <f>WEEKNUM(Tabla2610[[#This Row],[07/09/2026]])</f>
        <v>40</v>
      </c>
      <c r="O128" s="1" t="s">
        <v>30</v>
      </c>
      <c r="P128" s="1" t="s">
        <v>66</v>
      </c>
      <c r="Q128" s="9">
        <v>12289507</v>
      </c>
      <c r="R128" s="1" t="s">
        <v>103</v>
      </c>
      <c r="S128" s="1">
        <v>5</v>
      </c>
    </row>
    <row r="129" spans="2:19" x14ac:dyDescent="0.3">
      <c r="B129" s="4">
        <v>46297</v>
      </c>
      <c r="C129" s="1">
        <f>WEEKNUM(Tabla158[[#This Row],[Fecha]])</f>
        <v>40</v>
      </c>
      <c r="D129" s="1" t="s">
        <v>30</v>
      </c>
      <c r="E129" s="1" t="s">
        <v>66</v>
      </c>
      <c r="F129" s="9">
        <v>12289507</v>
      </c>
      <c r="G129" s="1">
        <v>54</v>
      </c>
      <c r="H129" s="1">
        <v>27</v>
      </c>
      <c r="I129" s="3">
        <f>Tabla158[[#This Row],[Piezas NOK]]/Tabla158[[#This Row],[Piezas OK]]</f>
        <v>0.5</v>
      </c>
      <c r="J129" s="1">
        <f t="shared" si="16"/>
        <v>0.5</v>
      </c>
      <c r="K129" s="5">
        <f>Tabla158[[#This Row],[FTQ]]</f>
        <v>0.5</v>
      </c>
      <c r="M129" s="4">
        <v>46297</v>
      </c>
      <c r="N129" s="1">
        <f>WEEKNUM(Tabla2610[[#This Row],[07/09/2026]])</f>
        <v>40</v>
      </c>
      <c r="O129" s="1" t="s">
        <v>30</v>
      </c>
      <c r="P129" s="1" t="s">
        <v>66</v>
      </c>
      <c r="Q129" s="9">
        <v>12289507</v>
      </c>
      <c r="R129" s="1" t="s">
        <v>100</v>
      </c>
      <c r="S129" s="1">
        <v>5</v>
      </c>
    </row>
    <row r="130" spans="2:19" x14ac:dyDescent="0.3">
      <c r="B130" s="4">
        <v>46297</v>
      </c>
      <c r="C130" s="1">
        <f>WEEKNUM(Tabla158[[#This Row],[Fecha]])</f>
        <v>40</v>
      </c>
      <c r="D130" s="1" t="s">
        <v>30</v>
      </c>
      <c r="E130" s="1" t="s">
        <v>59</v>
      </c>
      <c r="F130" s="9">
        <v>12289507</v>
      </c>
      <c r="G130" s="1">
        <v>53</v>
      </c>
      <c r="H130" s="1">
        <v>15</v>
      </c>
      <c r="I130" s="3">
        <f>Tabla158[[#This Row],[Piezas NOK]]/Tabla158[[#This Row],[Piezas OK]]</f>
        <v>0.28301886792452829</v>
      </c>
      <c r="J130" s="1">
        <f t="shared" si="16"/>
        <v>0.71698113207547176</v>
      </c>
      <c r="K130" s="5">
        <f>Tabla158[[#This Row],[FTQ]]</f>
        <v>0.71698113207547176</v>
      </c>
      <c r="M130" s="4">
        <v>46297</v>
      </c>
      <c r="N130" s="1">
        <f>WEEKNUM(Tabla2610[[#This Row],[07/09/2026]])</f>
        <v>40</v>
      </c>
      <c r="O130" s="1" t="s">
        <v>30</v>
      </c>
      <c r="P130" s="1" t="s">
        <v>66</v>
      </c>
      <c r="Q130" s="9">
        <v>12289507</v>
      </c>
      <c r="R130" s="1" t="s">
        <v>99</v>
      </c>
      <c r="S130" s="1">
        <v>3</v>
      </c>
    </row>
    <row r="131" spans="2:19" x14ac:dyDescent="0.3">
      <c r="B131" s="4">
        <v>46297</v>
      </c>
      <c r="C131" s="1">
        <f>WEEKNUM(Tabla158[[#This Row],[Fecha]])</f>
        <v>40</v>
      </c>
      <c r="D131" s="1" t="s">
        <v>30</v>
      </c>
      <c r="E131" s="1" t="s">
        <v>60</v>
      </c>
      <c r="F131" s="9">
        <v>12289507</v>
      </c>
      <c r="G131" s="1">
        <v>81</v>
      </c>
      <c r="H131" s="1">
        <v>3</v>
      </c>
      <c r="I131" s="3">
        <f>Tabla158[[#This Row],[Piezas NOK]]/Tabla158[[#This Row],[Piezas OK]]</f>
        <v>3.7037037037037035E-2</v>
      </c>
      <c r="J131" s="1">
        <f t="shared" si="16"/>
        <v>0.96296296296296302</v>
      </c>
      <c r="K131" s="5">
        <f>Tabla158[[#This Row],[FTQ]]</f>
        <v>0.96296296296296302</v>
      </c>
      <c r="M131" s="4">
        <v>46297</v>
      </c>
      <c r="N131" s="1">
        <f>WEEKNUM(Tabla2610[[#This Row],[07/09/2026]])</f>
        <v>40</v>
      </c>
      <c r="O131" s="1" t="s">
        <v>30</v>
      </c>
      <c r="P131" s="1" t="s">
        <v>66</v>
      </c>
      <c r="Q131" s="9">
        <v>12289507</v>
      </c>
      <c r="R131" s="1" t="s">
        <v>101</v>
      </c>
      <c r="S131" s="1">
        <v>1</v>
      </c>
    </row>
    <row r="132" spans="2:19" x14ac:dyDescent="0.3">
      <c r="B132" s="4">
        <v>46297</v>
      </c>
      <c r="C132" s="1">
        <f>WEEKNUM(Tabla158[[#This Row],[Fecha]])</f>
        <v>40</v>
      </c>
      <c r="D132" s="1" t="s">
        <v>30</v>
      </c>
      <c r="E132" s="1" t="s">
        <v>76</v>
      </c>
      <c r="F132" s="9">
        <v>12289507</v>
      </c>
      <c r="G132" s="1">
        <v>32</v>
      </c>
      <c r="H132" s="1">
        <v>0</v>
      </c>
      <c r="I132" s="3">
        <f>Tabla158[[#This Row],[Piezas NOK]]/Tabla158[[#This Row],[Piezas OK]]</f>
        <v>0</v>
      </c>
      <c r="J132" s="1">
        <f t="shared" si="16"/>
        <v>1</v>
      </c>
      <c r="K132" s="5">
        <f>Tabla158[[#This Row],[FTQ]]</f>
        <v>1</v>
      </c>
      <c r="M132" s="4">
        <v>46297</v>
      </c>
      <c r="N132" s="1">
        <f>WEEKNUM(Tabla2610[[#This Row],[07/09/2026]])</f>
        <v>40</v>
      </c>
      <c r="O132" s="1" t="s">
        <v>30</v>
      </c>
      <c r="P132" s="1" t="s">
        <v>66</v>
      </c>
      <c r="Q132" s="9">
        <v>12289507</v>
      </c>
      <c r="R132" s="1" t="s">
        <v>102</v>
      </c>
      <c r="S132" s="1">
        <v>2</v>
      </c>
    </row>
    <row r="133" spans="2:19" x14ac:dyDescent="0.3">
      <c r="B133" s="4">
        <v>46297</v>
      </c>
      <c r="C133" s="1">
        <f>WEEKNUM(Tabla158[[#This Row],[Fecha]])</f>
        <v>40</v>
      </c>
      <c r="D133" s="1" t="s">
        <v>30</v>
      </c>
      <c r="E133" s="1" t="s">
        <v>77</v>
      </c>
      <c r="F133" s="9">
        <v>12289507</v>
      </c>
      <c r="G133" s="1">
        <v>31</v>
      </c>
      <c r="H133" s="1">
        <v>2</v>
      </c>
      <c r="I133" s="3">
        <f>Tabla158[[#This Row],[Piezas NOK]]/Tabla158[[#This Row],[Piezas OK]]</f>
        <v>6.4516129032258063E-2</v>
      </c>
      <c r="J133" s="1">
        <f t="shared" si="16"/>
        <v>0.93548387096774199</v>
      </c>
      <c r="K133" s="5">
        <f>Tabla158[[#This Row],[FTQ]]</f>
        <v>0.93548387096774199</v>
      </c>
      <c r="M133" s="4">
        <v>46297</v>
      </c>
      <c r="N133" s="1">
        <f>WEEKNUM(Tabla2610[[#This Row],[07/09/2026]])</f>
        <v>40</v>
      </c>
      <c r="O133" s="1" t="s">
        <v>30</v>
      </c>
      <c r="P133" s="1" t="s">
        <v>59</v>
      </c>
      <c r="Q133" s="9">
        <v>12289507</v>
      </c>
      <c r="R133" s="1" t="s">
        <v>105</v>
      </c>
      <c r="S133" s="1">
        <v>10</v>
      </c>
    </row>
    <row r="134" spans="2:19" x14ac:dyDescent="0.3">
      <c r="B134" s="4">
        <v>46297</v>
      </c>
      <c r="C134" s="1">
        <f>WEEKNUM(Tabla158[[#This Row],[Fecha]])</f>
        <v>40</v>
      </c>
      <c r="D134" s="1" t="s">
        <v>30</v>
      </c>
      <c r="E134" s="1" t="s">
        <v>16</v>
      </c>
      <c r="F134" s="9">
        <v>12289507</v>
      </c>
      <c r="G134" s="1">
        <v>47</v>
      </c>
      <c r="H134" s="1">
        <v>16</v>
      </c>
      <c r="I134" s="3">
        <f>Tabla158[[#This Row],[Piezas NOK]]/Tabla158[[#This Row],[Piezas OK]]</f>
        <v>0.34042553191489361</v>
      </c>
      <c r="J134" s="1">
        <f t="shared" ref="J134:J135" si="17">ABS(G$3-I134)</f>
        <v>0.65957446808510634</v>
      </c>
      <c r="K134" s="5">
        <f>Tabla158[[#This Row],[FTQ]]</f>
        <v>0.65957446808510634</v>
      </c>
      <c r="M134" s="4">
        <v>46297</v>
      </c>
      <c r="N134" s="1">
        <f>WEEKNUM(Tabla2610[[#This Row],[07/09/2026]])</f>
        <v>40</v>
      </c>
      <c r="O134" s="1" t="s">
        <v>30</v>
      </c>
      <c r="P134" s="1" t="s">
        <v>59</v>
      </c>
      <c r="Q134" s="9">
        <v>12289507</v>
      </c>
      <c r="R134" s="1" t="s">
        <v>106</v>
      </c>
      <c r="S134" s="1">
        <v>5</v>
      </c>
    </row>
    <row r="135" spans="2:19" x14ac:dyDescent="0.3">
      <c r="B135" s="4">
        <v>46297</v>
      </c>
      <c r="C135" s="1">
        <f>WEEKNUM(Tabla158[[#This Row],[Fecha]])</f>
        <v>40</v>
      </c>
      <c r="D135" s="1" t="s">
        <v>30</v>
      </c>
      <c r="E135" s="1" t="s">
        <v>94</v>
      </c>
      <c r="F135" s="9">
        <v>12289507</v>
      </c>
      <c r="G135" s="1">
        <v>48</v>
      </c>
      <c r="H135" s="1">
        <v>0</v>
      </c>
      <c r="I135" s="3">
        <f>Tabla158[[#This Row],[Piezas NOK]]/Tabla158[[#This Row],[Piezas OK]]</f>
        <v>0</v>
      </c>
      <c r="J135" s="1">
        <f t="shared" si="17"/>
        <v>1</v>
      </c>
      <c r="K135" s="5">
        <f>Tabla158[[#This Row],[FTQ]]</f>
        <v>1</v>
      </c>
      <c r="M135" s="4">
        <v>46297</v>
      </c>
      <c r="N135" s="1">
        <f>WEEKNUM(Tabla2610[[#This Row],[07/09/2026]])</f>
        <v>40</v>
      </c>
      <c r="O135" s="1" t="s">
        <v>30</v>
      </c>
      <c r="P135" s="1" t="s">
        <v>60</v>
      </c>
      <c r="Q135" s="9">
        <v>12289507</v>
      </c>
      <c r="R135" s="1" t="s">
        <v>108</v>
      </c>
      <c r="S135" s="1">
        <v>1</v>
      </c>
    </row>
    <row r="136" spans="2:19" x14ac:dyDescent="0.3">
      <c r="B136" s="4"/>
      <c r="I136" s="3"/>
      <c r="J136" s="1"/>
      <c r="K136" s="5"/>
      <c r="M136" s="4">
        <v>46297</v>
      </c>
      <c r="N136" s="1">
        <f>WEEKNUM(Tabla2610[[#This Row],[07/09/2026]])</f>
        <v>40</v>
      </c>
      <c r="O136" s="1" t="s">
        <v>30</v>
      </c>
      <c r="P136" s="1" t="s">
        <v>60</v>
      </c>
      <c r="Q136" s="9">
        <v>12289507</v>
      </c>
      <c r="R136" s="1" t="s">
        <v>109</v>
      </c>
      <c r="S136" s="1">
        <v>1</v>
      </c>
    </row>
    <row r="137" spans="2:19" x14ac:dyDescent="0.3">
      <c r="B137" s="4"/>
      <c r="I137" s="3"/>
      <c r="J137" s="1"/>
      <c r="K137" s="5"/>
      <c r="M137" s="4">
        <v>46297</v>
      </c>
      <c r="N137" s="1">
        <f>WEEKNUM(Tabla2610[[#This Row],[07/09/2026]])</f>
        <v>40</v>
      </c>
      <c r="O137" s="1" t="s">
        <v>30</v>
      </c>
      <c r="P137" s="1" t="s">
        <v>60</v>
      </c>
      <c r="Q137" s="9">
        <v>12289507</v>
      </c>
      <c r="R137" s="1" t="s">
        <v>110</v>
      </c>
      <c r="S137" s="1">
        <v>1</v>
      </c>
    </row>
    <row r="138" spans="2:19" x14ac:dyDescent="0.3">
      <c r="B138" s="4"/>
      <c r="I138" s="3"/>
      <c r="J138" s="1"/>
      <c r="K138" s="5"/>
      <c r="M138" s="4">
        <v>46297</v>
      </c>
      <c r="N138" s="1">
        <f>WEEKNUM(Tabla2610[[#This Row],[07/09/2026]])</f>
        <v>40</v>
      </c>
      <c r="O138" s="1" t="s">
        <v>30</v>
      </c>
      <c r="P138" s="1" t="s">
        <v>77</v>
      </c>
      <c r="Q138" s="9">
        <v>12289507</v>
      </c>
      <c r="R138" s="1" t="s">
        <v>111</v>
      </c>
      <c r="S138" s="1">
        <v>1</v>
      </c>
    </row>
    <row r="139" spans="2:19" x14ac:dyDescent="0.3">
      <c r="B139" s="4"/>
      <c r="I139" s="3"/>
      <c r="J139" s="1"/>
      <c r="K139" s="5"/>
      <c r="M139" s="4">
        <v>46297</v>
      </c>
      <c r="N139" s="1">
        <f>WEEKNUM(Tabla2610[[#This Row],[07/09/2026]])</f>
        <v>40</v>
      </c>
      <c r="O139" s="1" t="s">
        <v>30</v>
      </c>
      <c r="P139" s="1" t="s">
        <v>77</v>
      </c>
      <c r="Q139" s="9">
        <v>12289507</v>
      </c>
      <c r="R139" s="1" t="s">
        <v>112</v>
      </c>
      <c r="S139" s="1">
        <v>1</v>
      </c>
    </row>
    <row r="140" spans="2:19" x14ac:dyDescent="0.3">
      <c r="B140" s="4"/>
      <c r="I140" s="3"/>
      <c r="J140" s="1"/>
      <c r="K140" s="5"/>
      <c r="M140" s="4">
        <v>46297</v>
      </c>
      <c r="N140" s="1">
        <f>WEEKNUM(Tabla2610[[#This Row],[07/09/2026]])</f>
        <v>40</v>
      </c>
      <c r="O140" s="1" t="s">
        <v>30</v>
      </c>
      <c r="P140" s="1" t="s">
        <v>16</v>
      </c>
      <c r="Q140" s="9">
        <v>12289507</v>
      </c>
      <c r="R140" s="1" t="s">
        <v>113</v>
      </c>
      <c r="S140" s="1">
        <v>2</v>
      </c>
    </row>
    <row r="141" spans="2:19" x14ac:dyDescent="0.3">
      <c r="B141" s="4"/>
      <c r="I141" s="3"/>
      <c r="J141" s="1"/>
      <c r="K141" s="5"/>
      <c r="M141" s="4">
        <v>46297</v>
      </c>
      <c r="N141" s="1">
        <f>WEEKNUM(Tabla2610[[#This Row],[07/09/2026]])</f>
        <v>40</v>
      </c>
      <c r="O141" s="1" t="s">
        <v>30</v>
      </c>
      <c r="P141" s="1" t="s">
        <v>16</v>
      </c>
      <c r="Q141" s="9">
        <v>12289507</v>
      </c>
      <c r="R141" s="1" t="s">
        <v>114</v>
      </c>
      <c r="S141" s="1">
        <v>14</v>
      </c>
    </row>
    <row r="142" spans="2:19" x14ac:dyDescent="0.3">
      <c r="B142" s="4"/>
      <c r="I142" s="3"/>
      <c r="J142" s="1"/>
      <c r="K142" s="5"/>
      <c r="M142" s="4"/>
    </row>
    <row r="143" spans="2:19" x14ac:dyDescent="0.3">
      <c r="B143" s="4"/>
      <c r="I143" s="3"/>
      <c r="J143" s="1"/>
      <c r="K143" s="5"/>
      <c r="M143" s="4"/>
    </row>
    <row r="144" spans="2:19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  <c r="U215" s="1"/>
      <c r="V215" s="1"/>
    </row>
    <row r="216" spans="2:22" x14ac:dyDescent="0.3">
      <c r="B216" s="4"/>
      <c r="I216" s="3"/>
      <c r="J216" s="1"/>
      <c r="K216" s="5"/>
      <c r="M216" s="4"/>
      <c r="U216" s="1"/>
      <c r="V216" s="1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8"/>
    </row>
    <row r="233" spans="2:13" x14ac:dyDescent="0.3">
      <c r="B233" s="4"/>
      <c r="I233" s="3"/>
      <c r="J233" s="1"/>
      <c r="K233" s="5"/>
      <c r="M233" s="8"/>
    </row>
    <row r="234" spans="2:13" x14ac:dyDescent="0.3">
      <c r="B234" s="4"/>
      <c r="I234" s="3"/>
      <c r="J234" s="1"/>
      <c r="K234" s="5"/>
      <c r="M234" s="8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4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M276" s="4"/>
    </row>
    <row r="277" spans="2:13" x14ac:dyDescent="0.3">
      <c r="B277" s="4"/>
      <c r="I277" s="3"/>
      <c r="J277" s="1"/>
      <c r="M277" s="4"/>
    </row>
    <row r="278" spans="2:13" x14ac:dyDescent="0.3">
      <c r="B278" s="4"/>
      <c r="I278" s="3"/>
      <c r="J278" s="1"/>
      <c r="M278" s="4"/>
    </row>
    <row r="279" spans="2:13" x14ac:dyDescent="0.3">
      <c r="B279" s="4"/>
      <c r="I279" s="3"/>
      <c r="J279" s="1"/>
      <c r="M279" s="4"/>
    </row>
    <row r="280" spans="2:13" x14ac:dyDescent="0.3">
      <c r="B280" s="4"/>
      <c r="I280" s="3"/>
      <c r="J280" s="1"/>
    </row>
    <row r="281" spans="2:13" x14ac:dyDescent="0.3">
      <c r="B281" s="4"/>
      <c r="I281" s="3"/>
      <c r="J281" s="1"/>
    </row>
    <row r="282" spans="2:13" x14ac:dyDescent="0.3">
      <c r="B282" s="4"/>
      <c r="I282" s="3"/>
      <c r="J282" s="1"/>
    </row>
    <row r="283" spans="2:13" x14ac:dyDescent="0.3">
      <c r="B283" s="4"/>
      <c r="I283" s="3"/>
      <c r="J283" s="1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A298" t="s">
        <v>0</v>
      </c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A338" t="s">
        <v>0</v>
      </c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  <c r="M422" s="7"/>
      <c r="N422" s="7"/>
      <c r="O422" s="7"/>
    </row>
    <row r="423" spans="2:15" x14ac:dyDescent="0.3">
      <c r="B423" s="4"/>
      <c r="I423" s="3"/>
      <c r="J423" s="1"/>
      <c r="M423" s="7"/>
      <c r="N423" s="7"/>
      <c r="O423" s="7"/>
    </row>
    <row r="424" spans="2:15" x14ac:dyDescent="0.3">
      <c r="B424" s="4"/>
      <c r="I424" s="3"/>
      <c r="J424" s="1"/>
      <c r="M424" s="7"/>
      <c r="N424" s="7"/>
      <c r="O424" s="7"/>
    </row>
    <row r="425" spans="2:15" x14ac:dyDescent="0.3">
      <c r="B425" s="4"/>
      <c r="I425" s="3"/>
      <c r="J425" s="1"/>
      <c r="M425" s="7"/>
      <c r="N425" s="7"/>
      <c r="O425" s="7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8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</row>
    <row r="471" spans="2:15" x14ac:dyDescent="0.3">
      <c r="B471" s="4"/>
      <c r="I471" s="3"/>
      <c r="J471" s="1"/>
    </row>
    <row r="472" spans="2:15" x14ac:dyDescent="0.3">
      <c r="B472" s="4"/>
      <c r="I472" s="3"/>
      <c r="J472" s="1"/>
    </row>
    <row r="473" spans="2:15" x14ac:dyDescent="0.3">
      <c r="B473" s="4"/>
      <c r="I473" s="3"/>
      <c r="J473" s="1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A677" t="s">
        <v>0</v>
      </c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A731" t="s">
        <v>0</v>
      </c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B735" s="4"/>
      <c r="I735" s="3"/>
      <c r="J735" s="1"/>
    </row>
    <row r="736" spans="1:10" x14ac:dyDescent="0.3">
      <c r="B736" s="4"/>
      <c r="I736" s="3"/>
      <c r="J736" s="1"/>
    </row>
    <row r="737" spans="1:10" x14ac:dyDescent="0.3"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A749" t="s">
        <v>0</v>
      </c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2:10" x14ac:dyDescent="0.3">
      <c r="B753" s="4"/>
      <c r="I753" s="3"/>
      <c r="J753" s="1"/>
    </row>
    <row r="754" spans="2:10" x14ac:dyDescent="0.3">
      <c r="B754" s="4"/>
      <c r="I754" s="3"/>
      <c r="J754" s="1"/>
    </row>
    <row r="755" spans="2:10" x14ac:dyDescent="0.3">
      <c r="B755" s="4"/>
      <c r="I755" s="3"/>
      <c r="J755" s="1"/>
    </row>
    <row r="756" spans="2:10" x14ac:dyDescent="0.3">
      <c r="B756" s="4"/>
      <c r="I756" s="3"/>
      <c r="J756" s="1"/>
    </row>
    <row r="757" spans="2:10" x14ac:dyDescent="0.3">
      <c r="B757" s="4"/>
      <c r="I757" s="3"/>
      <c r="J757" s="1"/>
    </row>
    <row r="758" spans="2:10" x14ac:dyDescent="0.3">
      <c r="B758" s="4"/>
      <c r="I758" s="3"/>
      <c r="J758" s="1"/>
    </row>
    <row r="759" spans="2:10" x14ac:dyDescent="0.3">
      <c r="B759" s="4"/>
      <c r="I759" s="3"/>
      <c r="J759" s="1"/>
    </row>
    <row r="760" spans="2:10" x14ac:dyDescent="0.3">
      <c r="B760" s="4"/>
      <c r="I760" s="3"/>
      <c r="J760" s="1"/>
    </row>
    <row r="761" spans="2:10" x14ac:dyDescent="0.3">
      <c r="B761" s="4"/>
      <c r="I761" s="3"/>
      <c r="J761" s="1"/>
    </row>
    <row r="762" spans="2:10" x14ac:dyDescent="0.3">
      <c r="B762" s="4"/>
      <c r="I762" s="3"/>
      <c r="J762" s="1"/>
    </row>
    <row r="763" spans="2:10" x14ac:dyDescent="0.3">
      <c r="B763" s="4"/>
      <c r="I763" s="3"/>
      <c r="J763" s="1"/>
    </row>
    <row r="764" spans="2:10" x14ac:dyDescent="0.3">
      <c r="B764" s="4"/>
      <c r="I764" s="3"/>
      <c r="J764" s="1"/>
    </row>
    <row r="765" spans="2:10" x14ac:dyDescent="0.3">
      <c r="B765" s="4"/>
      <c r="I765" s="3"/>
      <c r="J765" s="1"/>
    </row>
    <row r="766" spans="2:10" x14ac:dyDescent="0.3">
      <c r="B766" s="4"/>
      <c r="I766" s="3"/>
      <c r="J766" s="1"/>
    </row>
    <row r="767" spans="2:10" x14ac:dyDescent="0.3">
      <c r="B767" s="4"/>
      <c r="I767" s="3"/>
      <c r="J767" s="1"/>
    </row>
    <row r="768" spans="2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G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2026-10-04T19:51:42Z</dcterms:modified>
</cp:coreProperties>
</file>