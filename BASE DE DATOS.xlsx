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J:\LAUNCH MANAGEMENT\1 KI\4_NX5a\09_Information\10_FTQ\"/>
    </mc:Choice>
  </mc:AlternateContent>
  <xr:revisionPtr revIDLastSave="0" documentId="13_ncr:1_{B81C1498-AB3E-42BA-9099-F89FB4C26158}" xr6:coauthVersionLast="47" xr6:coauthVersionMax="47" xr10:uidLastSave="{00000000-0000-0000-0000-000000000000}"/>
  <bookViews>
    <workbookView xWindow="-108" yWindow="-108" windowWidth="23256" windowHeight="12456" xr2:uid="{439F1396-05A1-464E-A03B-8C77E5396FAA}"/>
  </bookViews>
  <sheets>
    <sheet name="BASE DE DATOS RIVIAN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 RIVIAN'!$B$4:$J$62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" i="1" l="1"/>
  <c r="N59" i="1"/>
  <c r="N60" i="1"/>
  <c r="N58" i="1"/>
  <c r="N54" i="1"/>
  <c r="N55" i="1"/>
  <c r="N56" i="1"/>
  <c r="N57" i="1"/>
  <c r="N53" i="1"/>
  <c r="N51" i="1"/>
  <c r="N52" i="1"/>
  <c r="N48" i="1"/>
  <c r="N47" i="1"/>
  <c r="N49" i="1"/>
  <c r="N50" i="1"/>
  <c r="N45" i="1"/>
  <c r="N46" i="1"/>
  <c r="C62" i="1"/>
  <c r="I62" i="1"/>
  <c r="J62" i="1"/>
  <c r="K62" i="1"/>
  <c r="C54" i="1"/>
  <c r="C55" i="1"/>
  <c r="C56" i="1"/>
  <c r="C57" i="1"/>
  <c r="C58" i="1"/>
  <c r="C59" i="1"/>
  <c r="C60" i="1"/>
  <c r="C61" i="1"/>
  <c r="I54" i="1"/>
  <c r="J54" i="1" s="1"/>
  <c r="K54" i="1" s="1"/>
  <c r="I55" i="1"/>
  <c r="J55" i="1" s="1"/>
  <c r="K55" i="1" s="1"/>
  <c r="I56" i="1"/>
  <c r="J56" i="1" s="1"/>
  <c r="K56" i="1" s="1"/>
  <c r="I57" i="1"/>
  <c r="J57" i="1" s="1"/>
  <c r="K57" i="1" s="1"/>
  <c r="I58" i="1"/>
  <c r="J58" i="1" s="1"/>
  <c r="K58" i="1" s="1"/>
  <c r="I59" i="1"/>
  <c r="J59" i="1" s="1"/>
  <c r="K59" i="1" s="1"/>
  <c r="I60" i="1"/>
  <c r="J60" i="1" s="1"/>
  <c r="K60" i="1" s="1"/>
  <c r="I61" i="1"/>
  <c r="J61" i="1" s="1"/>
  <c r="K61" i="1" s="1"/>
  <c r="C53" i="1"/>
  <c r="I53" i="1"/>
  <c r="J53" i="1"/>
  <c r="K53" i="1"/>
  <c r="C45" i="1"/>
  <c r="C46" i="1"/>
  <c r="C47" i="1"/>
  <c r="C48" i="1"/>
  <c r="C49" i="1"/>
  <c r="C50" i="1"/>
  <c r="C51" i="1"/>
  <c r="C52" i="1"/>
  <c r="I45" i="1"/>
  <c r="J45" i="1" s="1"/>
  <c r="K45" i="1" s="1"/>
  <c r="I46" i="1"/>
  <c r="J46" i="1" s="1"/>
  <c r="K46" i="1" s="1"/>
  <c r="I47" i="1"/>
  <c r="J47" i="1" s="1"/>
  <c r="K47" i="1" s="1"/>
  <c r="I48" i="1"/>
  <c r="J48" i="1" s="1"/>
  <c r="K48" i="1" s="1"/>
  <c r="I49" i="1"/>
  <c r="J49" i="1" s="1"/>
  <c r="K49" i="1" s="1"/>
  <c r="I50" i="1"/>
  <c r="J50" i="1" s="1"/>
  <c r="K50" i="1" s="1"/>
  <c r="I51" i="1"/>
  <c r="J51" i="1" s="1"/>
  <c r="K51" i="1" s="1"/>
  <c r="I52" i="1"/>
  <c r="J52" i="1" s="1"/>
  <c r="K52" i="1" s="1"/>
  <c r="N43" i="1"/>
  <c r="N44" i="1"/>
  <c r="N41" i="1"/>
  <c r="N42" i="1"/>
  <c r="N39" i="1"/>
  <c r="N40" i="1"/>
  <c r="N33" i="1"/>
  <c r="N34" i="1"/>
  <c r="N35" i="1"/>
  <c r="N36" i="1"/>
  <c r="N37" i="1"/>
  <c r="N38" i="1"/>
  <c r="N32" i="1"/>
  <c r="N31" i="1"/>
  <c r="C34" i="1"/>
  <c r="C35" i="1"/>
  <c r="C36" i="1"/>
  <c r="C37" i="1"/>
  <c r="C38" i="1"/>
  <c r="C39" i="1"/>
  <c r="C40" i="1"/>
  <c r="C41" i="1"/>
  <c r="C42" i="1"/>
  <c r="C43" i="1"/>
  <c r="C44" i="1"/>
  <c r="I34" i="1"/>
  <c r="J34" i="1" s="1"/>
  <c r="K34" i="1" s="1"/>
  <c r="I35" i="1"/>
  <c r="J35" i="1" s="1"/>
  <c r="K35" i="1" s="1"/>
  <c r="I36" i="1"/>
  <c r="J36" i="1" s="1"/>
  <c r="K36" i="1" s="1"/>
  <c r="I37" i="1"/>
  <c r="J37" i="1" s="1"/>
  <c r="K37" i="1" s="1"/>
  <c r="I38" i="1"/>
  <c r="J38" i="1" s="1"/>
  <c r="K38" i="1" s="1"/>
  <c r="I39" i="1"/>
  <c r="J39" i="1" s="1"/>
  <c r="K39" i="1" s="1"/>
  <c r="I40" i="1"/>
  <c r="J40" i="1" s="1"/>
  <c r="K40" i="1" s="1"/>
  <c r="I41" i="1"/>
  <c r="J41" i="1" s="1"/>
  <c r="K41" i="1" s="1"/>
  <c r="I42" i="1"/>
  <c r="J42" i="1" s="1"/>
  <c r="K42" i="1" s="1"/>
  <c r="I43" i="1"/>
  <c r="J43" i="1" s="1"/>
  <c r="K43" i="1" s="1"/>
  <c r="I44" i="1"/>
  <c r="J44" i="1" s="1"/>
  <c r="K44" i="1" s="1"/>
  <c r="N30" i="1" l="1"/>
  <c r="N29" i="1"/>
  <c r="N28" i="1"/>
  <c r="N26" i="1"/>
  <c r="N27" i="1"/>
  <c r="N24" i="1"/>
  <c r="N25" i="1"/>
  <c r="N19" i="1"/>
  <c r="N20" i="1"/>
  <c r="N21" i="1"/>
  <c r="N22" i="1"/>
  <c r="N23" i="1"/>
  <c r="N16" i="1"/>
  <c r="N17" i="1"/>
  <c r="N18" i="1"/>
  <c r="N15" i="1"/>
  <c r="I33" i="1"/>
  <c r="J33" i="1" s="1"/>
  <c r="K33" i="1" s="1"/>
  <c r="C33" i="1"/>
  <c r="I32" i="1"/>
  <c r="J32" i="1" s="1"/>
  <c r="K32" i="1" s="1"/>
  <c r="C32" i="1"/>
  <c r="I31" i="1"/>
  <c r="J31" i="1" s="1"/>
  <c r="K31" i="1" s="1"/>
  <c r="C31" i="1"/>
  <c r="I30" i="1"/>
  <c r="J30" i="1" s="1"/>
  <c r="K30" i="1" s="1"/>
  <c r="C30" i="1"/>
  <c r="I29" i="1"/>
  <c r="J29" i="1" s="1"/>
  <c r="K29" i="1" s="1"/>
  <c r="C29" i="1"/>
  <c r="I28" i="1"/>
  <c r="J28" i="1" s="1"/>
  <c r="K28" i="1" s="1"/>
  <c r="C28" i="1"/>
  <c r="I27" i="1"/>
  <c r="J27" i="1" s="1"/>
  <c r="K27" i="1" s="1"/>
  <c r="C27" i="1"/>
  <c r="I26" i="1"/>
  <c r="J26" i="1" s="1"/>
  <c r="K26" i="1" s="1"/>
  <c r="C26" i="1"/>
  <c r="I25" i="1"/>
  <c r="J25" i="1" s="1"/>
  <c r="K25" i="1" s="1"/>
  <c r="C25" i="1"/>
  <c r="I24" i="1"/>
  <c r="J24" i="1" s="1"/>
  <c r="K24" i="1" s="1"/>
  <c r="C24" i="1"/>
  <c r="C23" i="1"/>
  <c r="I23" i="1"/>
  <c r="J23" i="1" s="1"/>
  <c r="K23" i="1" s="1"/>
  <c r="C14" i="1"/>
  <c r="C15" i="1"/>
  <c r="C16" i="1"/>
  <c r="C17" i="1"/>
  <c r="C18" i="1"/>
  <c r="C19" i="1"/>
  <c r="C20" i="1"/>
  <c r="C21" i="1"/>
  <c r="C22" i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N14" i="1"/>
  <c r="N13" i="1"/>
  <c r="C5" i="1"/>
  <c r="C6" i="1"/>
  <c r="C7" i="1"/>
  <c r="C8" i="1"/>
  <c r="C9" i="1"/>
  <c r="C10" i="1"/>
  <c r="C11" i="1"/>
  <c r="C12" i="1"/>
  <c r="C13" i="1"/>
  <c r="N6" i="1"/>
  <c r="N7" i="1"/>
  <c r="N8" i="1"/>
  <c r="N9" i="1"/>
  <c r="N10" i="1"/>
  <c r="N11" i="1"/>
  <c r="N12" i="1"/>
  <c r="N5" i="1"/>
  <c r="I5" i="1"/>
  <c r="J5" i="1" s="1"/>
  <c r="K5" i="1" s="1"/>
  <c r="I6" i="1"/>
  <c r="J6" i="1" s="1"/>
  <c r="K6" i="1" s="1"/>
  <c r="I7" i="1"/>
  <c r="J7" i="1" s="1"/>
  <c r="K7" i="1" s="1"/>
  <c r="I8" i="1"/>
  <c r="J8" i="1" s="1"/>
  <c r="K8" i="1" s="1"/>
  <c r="I9" i="1"/>
  <c r="J9" i="1" s="1"/>
  <c r="K9" i="1" s="1"/>
  <c r="I10" i="1"/>
  <c r="J10" i="1" s="1"/>
  <c r="K10" i="1" s="1"/>
  <c r="I11" i="1"/>
  <c r="J11" i="1" s="1"/>
  <c r="K11" i="1" s="1"/>
  <c r="I12" i="1"/>
  <c r="J12" i="1" s="1"/>
  <c r="K12" i="1" s="1"/>
  <c r="I13" i="1"/>
  <c r="J13" i="1" s="1"/>
  <c r="K13" i="1" s="1"/>
</calcChain>
</file>

<file path=xl/sharedStrings.xml><?xml version="1.0" encoding="utf-8"?>
<sst xmlns="http://schemas.openxmlformats.org/spreadsheetml/2006/main" count="220" uniqueCount="51">
  <si>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</si>
  <si>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</si>
  <si>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</si>
  <si>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</si>
  <si>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</si>
  <si>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</si>
  <si>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</si>
  <si>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</si>
  <si>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</si>
  <si>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</si>
  <si>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</si>
  <si>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</si>
  <si>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</si>
  <si>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</si>
  <si>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</si>
  <si>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1100A</t>
  </si>
  <si>
    <t>Falso rechazo Op.1100A</t>
  </si>
  <si>
    <t>1100B</t>
  </si>
  <si>
    <t>Hyundai/KIA</t>
  </si>
  <si>
    <t>Falta de puntos de grasa Op.100</t>
  </si>
  <si>
    <t>Corredera mal posicionada Op.400</t>
  </si>
  <si>
    <t>Corto de soldadura Op.800</t>
  </si>
  <si>
    <t>Falta de soldadura Op.800</t>
  </si>
  <si>
    <t>Falta de soldadura Op.1100A</t>
  </si>
  <si>
    <t>Lever Barcode Scan Facture Op.300</t>
  </si>
  <si>
    <t>Falla en lectura de Scanner Op.300</t>
  </si>
  <si>
    <t>Falla de inspección visual Op.200</t>
  </si>
  <si>
    <t>Falla de inspección visual Op.300</t>
  </si>
  <si>
    <t>Falla de inspección visual Op.600</t>
  </si>
  <si>
    <t>Falla de inspección visual Op.400</t>
  </si>
  <si>
    <t>Falla en lectura de Scanner Op.400</t>
  </si>
  <si>
    <t>Falla en atornillado Op.700</t>
  </si>
  <si>
    <t>Falla sin especificación Op.900</t>
  </si>
  <si>
    <t>Mal embobinado en spiral Op.1100A</t>
  </si>
  <si>
    <t>Falla de sensor de slai Op.400</t>
  </si>
  <si>
    <t>Falla de sensor S$9 Op.400</t>
  </si>
  <si>
    <t>Material Towerdid Op.400</t>
  </si>
  <si>
    <t xml:space="preserve">SFC 965827AGG00003 is not in queue at operation Op.400 </t>
  </si>
  <si>
    <t>Sin especificar Op. 600</t>
  </si>
  <si>
    <t>Sin especificar ok Op. 600</t>
  </si>
  <si>
    <t>Falso Rechazo (version de SCR) Op.700</t>
  </si>
  <si>
    <t>Falta de grasa en PCB Op.400</t>
  </si>
  <si>
    <t>Detecta piezas de sobre-producción Op.400</t>
  </si>
  <si>
    <t>Mezcla de material con index incorrecto Op.700</t>
  </si>
  <si>
    <t>Falla 0090.040 Op.1100A</t>
  </si>
  <si>
    <t>Falla  0040.074 Op.1100A</t>
  </si>
  <si>
    <t>Falla 0400.020 Op.1100A</t>
  </si>
  <si>
    <t>Falla 0400.030 Op.1100A</t>
  </si>
  <si>
    <t>Falla 0060.005 Op.1100A</t>
  </si>
  <si>
    <t>Falla 0090.004 Op.1100B</t>
  </si>
  <si>
    <t>Detecta pieza sin pasar en operación anterior Op.700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</si>
</sst>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2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62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15"/>
    <tableColumn id="4" xr3:uid="{5F1693BE-115D-44D5-AF56-1D264ADD732C}" name="Version" dataDxfId="14"/>
    <tableColumn id="5" xr3:uid="{5338F4E1-D693-43F8-949D-571F0CE39E9A}" name="Piezas OK" dataDxfId="13"/>
    <tableColumn id="6" xr3:uid="{3D66411F-A368-4E6A-B088-6142D3936EC3}" name="Piezas NOK" dataDxfId="12"/>
    <tableColumn id="10" xr3:uid="{C4AB812D-0BAE-4D93-864F-897D5721DC95}" name="Division " dataDxfId="11">
      <calculatedColumnFormula>Tabla158[[#This Row],[Piezas NOK]]/Tabla158[[#This Row],[Piezas OK]]</calculatedColumnFormula>
    </tableColumn>
    <tableColumn id="8" xr3:uid="{F39DB17C-B4B4-4352-B595-2330856B09A4}" name="FTQ" dataDxfId="10">
      <calculatedColumnFormula>ABS(G$3-I5)</calculatedColumnFormula>
    </tableColumn>
    <tableColumn id="12" xr3:uid="{09CB875C-7FE1-4B1A-9517-6670DA724128}" name="%" dataDxfId="9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61" totalsRowShown="0" headerRowDxfId="8" dataDxfId="7">
  <tableColumns count="7">
    <tableColumn id="1" xr3:uid="{D688BA2E-A64E-4433-85E0-7EDBF854AF60}" name="Fecha" dataDxfId="6"/>
    <tableColumn id="7" xr3:uid="{D3EA5E8D-DD68-48AC-8DAC-4A4077839479}" name="Semana" dataDxfId="5">
      <calculatedColumnFormula>WEEKNUM(Tabla2610[[#This Row],[Fecha]])</calculatedColumnFormula>
    </tableColumn>
    <tableColumn id="2" xr3:uid="{2BBDA3EE-1089-4999-82D7-821DAA1CF033}" name="Línea" dataDxfId="4"/>
    <tableColumn id="3" xr3:uid="{A327B0AF-C947-4083-8F0A-4A5908FD3558}" name="Maquina" dataDxfId="3"/>
    <tableColumn id="4" xr3:uid="{58C9F38E-D89E-450A-9CAA-EFCECBECC74C}" name="Version" dataDxfId="2"/>
    <tableColumn id="5" xr3:uid="{5C95C72F-200A-46B3-A6FC-20E7D88A7BCD}" name="Defecto" dataDxfId="1"/>
    <tableColumn id="6" xr3:uid="{33109690-8A43-4F38-8F52-FD73CBA9F32F}" name="Cantida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dimension ref="A1:V830"/>
  <sheetViews>
    <sheetView tabSelected="1" topLeftCell="B39" zoomScale="93" zoomScaleNormal="110" workbookViewId="0">
      <selection activeCell="K67" sqref="K67"/>
    </sheetView>
  </sheetViews>
  <sheetFormatPr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14.6640625" style="1" customWidth="1"/>
    <col min="6" max="7" width="11.5546875" style="1"/>
    <col min="8" max="8" width="12" style="1" customWidth="1"/>
    <col min="9" max="9" width="12" style="1" hidden="1" customWidth="1"/>
    <col min="10" max="10" width="0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12.44140625" style="1" customWidth="1"/>
    <col min="16" max="16" width="13.21875" style="1" bestFit="1" customWidth="1"/>
    <col min="17" max="17" width="11.77734375" style="1" bestFit="1" customWidth="1"/>
    <col min="18" max="18" width="50.44140625" style="1" customWidth="1"/>
    <col min="19" max="19" width="13" style="1" bestFit="1" customWidth="1"/>
  </cols>
  <sheetData>
    <row r="1" spans="2:19" ht="14.4" customHeight="1" x14ac:dyDescent="0.3">
      <c r="B1" s="11" t="s">
        <v>14</v>
      </c>
      <c r="C1" s="11"/>
      <c r="D1" s="11"/>
      <c r="E1" s="11"/>
      <c r="F1" s="11"/>
      <c r="G1" s="11"/>
      <c r="H1" s="11"/>
      <c r="I1" s="11"/>
      <c r="J1" s="11"/>
      <c r="K1" s="6"/>
      <c r="M1" s="11" t="s">
        <v>13</v>
      </c>
      <c r="N1" s="11"/>
      <c r="O1" s="11"/>
      <c r="P1" s="11"/>
      <c r="Q1" s="11"/>
      <c r="R1" s="11"/>
      <c r="S1" s="11"/>
    </row>
    <row r="2" spans="2:19" ht="14.4" customHeight="1" x14ac:dyDescent="0.3">
      <c r="B2" s="11"/>
      <c r="C2" s="11"/>
      <c r="D2" s="11"/>
      <c r="E2" s="11"/>
      <c r="F2" s="11"/>
      <c r="G2" s="11"/>
      <c r="H2" s="11"/>
      <c r="I2" s="11"/>
      <c r="J2" s="11"/>
      <c r="K2" s="6"/>
      <c r="M2" s="11"/>
      <c r="N2" s="11"/>
      <c r="O2" s="11"/>
      <c r="P2" s="11"/>
      <c r="Q2" s="11"/>
      <c r="R2" s="11"/>
      <c r="S2" s="11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1" t="s">
        <v>7</v>
      </c>
      <c r="N4" s="1" t="s">
        <v>6</v>
      </c>
      <c r="O4" s="1" t="s">
        <v>5</v>
      </c>
      <c r="P4" s="1" t="s">
        <v>4</v>
      </c>
      <c r="Q4" s="1" t="s">
        <v>3</v>
      </c>
      <c r="R4" s="1" t="s">
        <v>2</v>
      </c>
      <c r="S4" s="1" t="s">
        <v>1</v>
      </c>
    </row>
    <row r="5" spans="2:19" x14ac:dyDescent="0.3">
      <c r="B5" s="4">
        <v>46217</v>
      </c>
      <c r="C5" s="1">
        <f>WEEKNUM(Tabla158[[#This Row],[Fecha]])</f>
        <v>29</v>
      </c>
      <c r="D5" s="1" t="s">
        <v>18</v>
      </c>
      <c r="E5" s="1">
        <v>100</v>
      </c>
      <c r="F5" s="9">
        <v>12264732</v>
      </c>
      <c r="G5" s="1">
        <v>104</v>
      </c>
      <c r="H5" s="1">
        <v>1</v>
      </c>
      <c r="I5" s="3">
        <f>Tabla158[[#This Row],[Piezas NOK]]/Tabla158[[#This Row],[Piezas OK]]</f>
        <v>9.6153846153846159E-3</v>
      </c>
      <c r="J5" s="1">
        <f t="shared" ref="J5:J13" si="0">ABS(G$3-I5)</f>
        <v>0.99038461538461542</v>
      </c>
      <c r="K5" s="5">
        <f>Tabla158[[#This Row],[FTQ]]</f>
        <v>0.99038461538461542</v>
      </c>
      <c r="M5" s="4">
        <v>46217</v>
      </c>
      <c r="N5" s="1">
        <f>WEEKNUM(Tabla2610[[#This Row],[Fecha]])</f>
        <v>29</v>
      </c>
      <c r="O5" s="1" t="s">
        <v>18</v>
      </c>
      <c r="P5" s="1">
        <v>100</v>
      </c>
      <c r="Q5" s="9">
        <v>12264732</v>
      </c>
      <c r="R5" s="1" t="s">
        <v>19</v>
      </c>
      <c r="S5" s="1">
        <v>1</v>
      </c>
    </row>
    <row r="6" spans="2:19" x14ac:dyDescent="0.3">
      <c r="B6" s="4">
        <v>46217</v>
      </c>
      <c r="C6" s="1">
        <f>WEEKNUM(Tabla158[[#This Row],[Fecha]])</f>
        <v>29</v>
      </c>
      <c r="D6" s="1" t="s">
        <v>18</v>
      </c>
      <c r="E6" s="1">
        <v>200</v>
      </c>
      <c r="F6" s="9">
        <v>12264732</v>
      </c>
      <c r="G6" s="1">
        <v>106</v>
      </c>
      <c r="H6" s="1">
        <v>1</v>
      </c>
      <c r="I6" s="3">
        <f>Tabla158[[#This Row],[Piezas NOK]]/Tabla158[[#This Row],[Piezas OK]]</f>
        <v>9.433962264150943E-3</v>
      </c>
      <c r="J6" s="1">
        <f t="shared" si="0"/>
        <v>0.99056603773584906</v>
      </c>
      <c r="K6" s="5">
        <f>Tabla158[[#This Row],[FTQ]]</f>
        <v>0.99056603773584906</v>
      </c>
      <c r="M6" s="4">
        <v>46217</v>
      </c>
      <c r="N6" s="1">
        <f>WEEKNUM(Tabla2610[[#This Row],[Fecha]])</f>
        <v>29</v>
      </c>
      <c r="O6" s="1" t="s">
        <v>18</v>
      </c>
      <c r="P6" s="1">
        <v>200</v>
      </c>
      <c r="Q6" s="9">
        <v>12264732</v>
      </c>
      <c r="R6" s="1" t="s">
        <v>26</v>
      </c>
      <c r="S6" s="1">
        <v>1</v>
      </c>
    </row>
    <row r="7" spans="2:19" x14ac:dyDescent="0.3">
      <c r="B7" s="4">
        <v>46217</v>
      </c>
      <c r="C7" s="1">
        <f>WEEKNUM(Tabla158[[#This Row],[Fecha]])</f>
        <v>29</v>
      </c>
      <c r="D7" s="1" t="s">
        <v>18</v>
      </c>
      <c r="E7" s="1">
        <v>300</v>
      </c>
      <c r="F7" s="9">
        <v>12264732</v>
      </c>
      <c r="G7" s="1">
        <v>112</v>
      </c>
      <c r="H7" s="1">
        <v>3</v>
      </c>
      <c r="I7" s="3">
        <f>Tabla158[[#This Row],[Piezas NOK]]/Tabla158[[#This Row],[Piezas OK]]</f>
        <v>2.6785714285714284E-2</v>
      </c>
      <c r="J7" s="1">
        <f t="shared" si="0"/>
        <v>0.9732142857142857</v>
      </c>
      <c r="K7" s="5">
        <f>Tabla158[[#This Row],[FTQ]]</f>
        <v>0.9732142857142857</v>
      </c>
      <c r="M7" s="4">
        <v>46217</v>
      </c>
      <c r="N7" s="1">
        <f>WEEKNUM(Tabla2610[[#This Row],[Fecha]])</f>
        <v>29</v>
      </c>
      <c r="O7" s="1" t="s">
        <v>18</v>
      </c>
      <c r="P7" s="1">
        <v>300</v>
      </c>
      <c r="Q7" s="9">
        <v>12264732</v>
      </c>
      <c r="R7" s="1" t="s">
        <v>27</v>
      </c>
      <c r="S7" s="1">
        <v>3</v>
      </c>
    </row>
    <row r="8" spans="2:19" x14ac:dyDescent="0.3">
      <c r="B8" s="4">
        <v>46217</v>
      </c>
      <c r="C8" s="1">
        <f>WEEKNUM(Tabla158[[#This Row],[Fecha]])</f>
        <v>29</v>
      </c>
      <c r="D8" s="1" t="s">
        <v>18</v>
      </c>
      <c r="E8" s="1">
        <v>400</v>
      </c>
      <c r="F8" s="9">
        <v>12264732</v>
      </c>
      <c r="G8" s="1">
        <v>94</v>
      </c>
      <c r="H8" s="1">
        <v>79</v>
      </c>
      <c r="I8" s="3">
        <f>Tabla158[[#This Row],[Piezas NOK]]/Tabla158[[#This Row],[Piezas OK]]</f>
        <v>0.84042553191489366</v>
      </c>
      <c r="J8" s="1">
        <f t="shared" si="0"/>
        <v>0.15957446808510634</v>
      </c>
      <c r="K8" s="5">
        <f>Tabla158[[#This Row],[FTQ]]</f>
        <v>0.15957446808510634</v>
      </c>
      <c r="M8" s="4">
        <v>46217</v>
      </c>
      <c r="N8" s="1">
        <f>WEEKNUM(Tabla2610[[#This Row],[Fecha]])</f>
        <v>29</v>
      </c>
      <c r="O8" s="1" t="s">
        <v>18</v>
      </c>
      <c r="P8" s="1">
        <v>400</v>
      </c>
      <c r="Q8" s="9">
        <v>12264732</v>
      </c>
      <c r="R8" s="1" t="s">
        <v>20</v>
      </c>
      <c r="S8" s="1">
        <v>79</v>
      </c>
    </row>
    <row r="9" spans="2:19" x14ac:dyDescent="0.3">
      <c r="B9" s="4">
        <v>46217</v>
      </c>
      <c r="C9" s="1">
        <f>WEEKNUM(Tabla158[[#This Row],[Fecha]])</f>
        <v>29</v>
      </c>
      <c r="D9" s="1" t="s">
        <v>18</v>
      </c>
      <c r="E9" s="1">
        <v>600</v>
      </c>
      <c r="F9" s="9">
        <v>12264732</v>
      </c>
      <c r="G9" s="1">
        <v>97</v>
      </c>
      <c r="H9" s="1">
        <v>1</v>
      </c>
      <c r="I9" s="3">
        <f>Tabla158[[#This Row],[Piezas NOK]]/Tabla158[[#This Row],[Piezas OK]]</f>
        <v>1.0309278350515464E-2</v>
      </c>
      <c r="J9" s="1">
        <f t="shared" si="0"/>
        <v>0.98969072164948457</v>
      </c>
      <c r="K9" s="5">
        <f>Tabla158[[#This Row],[FTQ]]</f>
        <v>0.98969072164948457</v>
      </c>
      <c r="M9" s="4">
        <v>46217</v>
      </c>
      <c r="N9" s="1">
        <f>WEEKNUM(Tabla2610[[#This Row],[Fecha]])</f>
        <v>29</v>
      </c>
      <c r="O9" s="1" t="s">
        <v>18</v>
      </c>
      <c r="P9" s="1">
        <v>600</v>
      </c>
      <c r="Q9" s="9">
        <v>12264732</v>
      </c>
      <c r="R9" s="1" t="s">
        <v>28</v>
      </c>
      <c r="S9" s="1">
        <v>1</v>
      </c>
    </row>
    <row r="10" spans="2:19" x14ac:dyDescent="0.3">
      <c r="B10" s="4">
        <v>46217</v>
      </c>
      <c r="C10" s="1">
        <f>WEEKNUM(Tabla158[[#This Row],[Fecha]])</f>
        <v>29</v>
      </c>
      <c r="D10" s="1" t="s">
        <v>18</v>
      </c>
      <c r="E10" s="1">
        <v>700</v>
      </c>
      <c r="F10" s="9">
        <v>12264732</v>
      </c>
      <c r="G10" s="1">
        <v>98</v>
      </c>
      <c r="H10" s="1">
        <v>0</v>
      </c>
      <c r="I10" s="3">
        <f>Tabla158[[#This Row],[Piezas NOK]]/Tabla158[[#This Row],[Piezas OK]]</f>
        <v>0</v>
      </c>
      <c r="J10" s="1">
        <f t="shared" si="0"/>
        <v>1</v>
      </c>
      <c r="K10" s="5">
        <f>Tabla158[[#This Row],[FTQ]]</f>
        <v>1</v>
      </c>
      <c r="M10" s="4">
        <v>46217</v>
      </c>
      <c r="N10" s="1">
        <f>WEEKNUM(Tabla2610[[#This Row],[Fecha]])</f>
        <v>29</v>
      </c>
      <c r="O10" s="1" t="s">
        <v>18</v>
      </c>
      <c r="P10" s="1">
        <v>800</v>
      </c>
      <c r="Q10" s="9">
        <v>12264732</v>
      </c>
      <c r="R10" s="1" t="s">
        <v>21</v>
      </c>
      <c r="S10" s="1">
        <v>3</v>
      </c>
    </row>
    <row r="11" spans="2:19" x14ac:dyDescent="0.3">
      <c r="B11" s="4">
        <v>46217</v>
      </c>
      <c r="C11" s="1">
        <f>WEEKNUM(Tabla158[[#This Row],[Fecha]])</f>
        <v>29</v>
      </c>
      <c r="D11" s="1" t="s">
        <v>18</v>
      </c>
      <c r="E11" s="1">
        <v>800</v>
      </c>
      <c r="F11" s="9">
        <v>12264732</v>
      </c>
      <c r="G11" s="1">
        <v>98</v>
      </c>
      <c r="H11" s="1">
        <v>12</v>
      </c>
      <c r="I11" s="3">
        <f>Tabla158[[#This Row],[Piezas NOK]]/Tabla158[[#This Row],[Piezas OK]]</f>
        <v>0.12244897959183673</v>
      </c>
      <c r="J11" s="1">
        <f t="shared" si="0"/>
        <v>0.87755102040816324</v>
      </c>
      <c r="K11" s="5">
        <f>Tabla158[[#This Row],[FTQ]]</f>
        <v>0.87755102040816324</v>
      </c>
      <c r="M11" s="4">
        <v>46217</v>
      </c>
      <c r="N11" s="1">
        <f>WEEKNUM(Tabla2610[[#This Row],[Fecha]])</f>
        <v>29</v>
      </c>
      <c r="O11" s="1" t="s">
        <v>18</v>
      </c>
      <c r="P11" s="1">
        <v>800</v>
      </c>
      <c r="Q11" s="9">
        <v>12264732</v>
      </c>
      <c r="R11" s="1" t="s">
        <v>22</v>
      </c>
      <c r="S11" s="1">
        <v>9</v>
      </c>
    </row>
    <row r="12" spans="2:19" x14ac:dyDescent="0.3">
      <c r="B12" s="4">
        <v>46217</v>
      </c>
      <c r="C12" s="1">
        <f>WEEKNUM(Tabla158[[#This Row],[Fecha]])</f>
        <v>29</v>
      </c>
      <c r="D12" s="1" t="s">
        <v>18</v>
      </c>
      <c r="E12" s="1">
        <v>900</v>
      </c>
      <c r="F12" s="9">
        <v>12264732</v>
      </c>
      <c r="G12" s="1">
        <v>98</v>
      </c>
      <c r="H12" s="1">
        <v>0</v>
      </c>
      <c r="I12" s="3">
        <f>Tabla158[[#This Row],[Piezas NOK]]/Tabla158[[#This Row],[Piezas OK]]</f>
        <v>0</v>
      </c>
      <c r="J12" s="1">
        <f t="shared" si="0"/>
        <v>1</v>
      </c>
      <c r="K12" s="5">
        <f>Tabla158[[#This Row],[FTQ]]</f>
        <v>1</v>
      </c>
      <c r="M12" s="4">
        <v>46217</v>
      </c>
      <c r="N12" s="1">
        <f>WEEKNUM(Tabla2610[[#This Row],[Fecha]])</f>
        <v>29</v>
      </c>
      <c r="O12" s="1" t="s">
        <v>18</v>
      </c>
      <c r="P12" s="1" t="s">
        <v>15</v>
      </c>
      <c r="Q12" s="9">
        <v>12264732</v>
      </c>
      <c r="R12" s="1" t="s">
        <v>23</v>
      </c>
      <c r="S12" s="1">
        <v>1</v>
      </c>
    </row>
    <row r="13" spans="2:19" x14ac:dyDescent="0.3">
      <c r="B13" s="4">
        <v>46217</v>
      </c>
      <c r="C13" s="1">
        <f>WEEKNUM(Tabla158[[#This Row],[Fecha]])</f>
        <v>29</v>
      </c>
      <c r="D13" s="1" t="s">
        <v>18</v>
      </c>
      <c r="E13" s="1" t="s">
        <v>15</v>
      </c>
      <c r="F13" s="9">
        <v>12264732</v>
      </c>
      <c r="G13" s="1">
        <v>77</v>
      </c>
      <c r="H13" s="1">
        <v>3</v>
      </c>
      <c r="I13" s="3">
        <f>Tabla158[[#This Row],[Piezas NOK]]/Tabla158[[#This Row],[Piezas OK]]</f>
        <v>3.896103896103896E-2</v>
      </c>
      <c r="J13" s="1">
        <f t="shared" si="0"/>
        <v>0.96103896103896103</v>
      </c>
      <c r="K13" s="5">
        <f>Tabla158[[#This Row],[FTQ]]</f>
        <v>0.96103896103896103</v>
      </c>
      <c r="M13" s="4">
        <v>46217</v>
      </c>
      <c r="N13" s="1">
        <f>WEEKNUM(Tabla2610[[#This Row],[Fecha]])</f>
        <v>29</v>
      </c>
      <c r="O13" s="1" t="s">
        <v>18</v>
      </c>
      <c r="P13" s="1" t="s">
        <v>15</v>
      </c>
      <c r="Q13" s="9">
        <v>12264732</v>
      </c>
      <c r="R13" s="1" t="s">
        <v>33</v>
      </c>
      <c r="S13" s="1">
        <v>1</v>
      </c>
    </row>
    <row r="14" spans="2:19" x14ac:dyDescent="0.3">
      <c r="B14" s="4">
        <v>46220</v>
      </c>
      <c r="C14" s="1">
        <f>WEEKNUM(Tabla158[[#This Row],[Fecha]])</f>
        <v>29</v>
      </c>
      <c r="D14" s="1" t="s">
        <v>18</v>
      </c>
      <c r="E14" s="1">
        <v>100</v>
      </c>
      <c r="F14" s="9">
        <v>12264732</v>
      </c>
      <c r="G14" s="1">
        <v>130</v>
      </c>
      <c r="H14" s="1">
        <v>0</v>
      </c>
      <c r="I14" s="3">
        <f>Tabla158[[#This Row],[Piezas NOK]]/Tabla158[[#This Row],[Piezas OK]]</f>
        <v>0</v>
      </c>
      <c r="J14" s="1">
        <f t="shared" ref="J14:J22" si="1">ABS(G$3-I14)</f>
        <v>1</v>
      </c>
      <c r="K14" s="5">
        <f>Tabla158[[#This Row],[FTQ]]</f>
        <v>1</v>
      </c>
      <c r="M14" s="4">
        <v>46217</v>
      </c>
      <c r="N14" s="1">
        <f>WEEKNUM(Tabla2610[[#This Row],[Fecha]])</f>
        <v>29</v>
      </c>
      <c r="O14" s="1" t="s">
        <v>18</v>
      </c>
      <c r="P14" s="1" t="s">
        <v>15</v>
      </c>
      <c r="Q14" s="9">
        <v>12264732</v>
      </c>
      <c r="R14" s="1" t="s">
        <v>16</v>
      </c>
      <c r="S14" s="1">
        <v>1</v>
      </c>
    </row>
    <row r="15" spans="2:19" x14ac:dyDescent="0.3">
      <c r="B15" s="4">
        <v>46220</v>
      </c>
      <c r="C15" s="1">
        <f>WEEKNUM(Tabla158[[#This Row],[Fecha]])</f>
        <v>29</v>
      </c>
      <c r="D15" s="1" t="s">
        <v>18</v>
      </c>
      <c r="E15" s="1">
        <v>200</v>
      </c>
      <c r="F15" s="9">
        <v>12264732</v>
      </c>
      <c r="G15" s="1">
        <v>61</v>
      </c>
      <c r="H15" s="1">
        <v>3</v>
      </c>
      <c r="I15" s="3">
        <f>Tabla158[[#This Row],[Piezas NOK]]/Tabla158[[#This Row],[Piezas OK]]</f>
        <v>4.9180327868852458E-2</v>
      </c>
      <c r="J15" s="1">
        <f t="shared" si="1"/>
        <v>0.95081967213114749</v>
      </c>
      <c r="K15" s="5">
        <f>Tabla158[[#This Row],[FTQ]]</f>
        <v>0.95081967213114749</v>
      </c>
      <c r="M15" s="4">
        <v>46220</v>
      </c>
      <c r="N15" s="1">
        <f>WEEKNUM(Tabla2610[[#This Row],[Fecha]])</f>
        <v>29</v>
      </c>
      <c r="O15" s="1" t="s">
        <v>18</v>
      </c>
      <c r="P15" s="1">
        <v>200</v>
      </c>
      <c r="Q15" s="9">
        <v>12264732</v>
      </c>
      <c r="R15" s="1" t="s">
        <v>26</v>
      </c>
      <c r="S15" s="1">
        <v>3</v>
      </c>
    </row>
    <row r="16" spans="2:19" x14ac:dyDescent="0.3">
      <c r="B16" s="4">
        <v>46220</v>
      </c>
      <c r="C16" s="1">
        <f>WEEKNUM(Tabla158[[#This Row],[Fecha]])</f>
        <v>29</v>
      </c>
      <c r="D16" s="1" t="s">
        <v>18</v>
      </c>
      <c r="E16" s="1">
        <v>300</v>
      </c>
      <c r="F16" s="9">
        <v>12264732</v>
      </c>
      <c r="G16" s="1">
        <v>70</v>
      </c>
      <c r="H16" s="1">
        <v>20</v>
      </c>
      <c r="I16" s="3">
        <f>Tabla158[[#This Row],[Piezas NOK]]/Tabla158[[#This Row],[Piezas OK]]</f>
        <v>0.2857142857142857</v>
      </c>
      <c r="J16" s="1">
        <f t="shared" si="1"/>
        <v>0.7142857142857143</v>
      </c>
      <c r="K16" s="5">
        <f>Tabla158[[#This Row],[FTQ]]</f>
        <v>0.7142857142857143</v>
      </c>
      <c r="M16" s="4">
        <v>46220</v>
      </c>
      <c r="N16" s="1">
        <f>WEEKNUM(Tabla2610[[#This Row],[Fecha]])</f>
        <v>29</v>
      </c>
      <c r="O16" s="1" t="s">
        <v>18</v>
      </c>
      <c r="P16" s="1">
        <v>300</v>
      </c>
      <c r="Q16" s="9">
        <v>12264732</v>
      </c>
      <c r="R16" s="1" t="s">
        <v>24</v>
      </c>
      <c r="S16" s="1">
        <v>5</v>
      </c>
    </row>
    <row r="17" spans="2:19" x14ac:dyDescent="0.3">
      <c r="B17" s="4">
        <v>46220</v>
      </c>
      <c r="C17" s="1">
        <f>WEEKNUM(Tabla158[[#This Row],[Fecha]])</f>
        <v>29</v>
      </c>
      <c r="D17" s="1" t="s">
        <v>18</v>
      </c>
      <c r="E17" s="1">
        <v>400</v>
      </c>
      <c r="F17" s="9">
        <v>12264732</v>
      </c>
      <c r="G17" s="1">
        <v>77</v>
      </c>
      <c r="H17" s="1">
        <v>35</v>
      </c>
      <c r="I17" s="3">
        <f>Tabla158[[#This Row],[Piezas NOK]]/Tabla158[[#This Row],[Piezas OK]]</f>
        <v>0.45454545454545453</v>
      </c>
      <c r="J17" s="1">
        <f t="shared" si="1"/>
        <v>0.54545454545454541</v>
      </c>
      <c r="K17" s="5">
        <f>Tabla158[[#This Row],[FTQ]]</f>
        <v>0.54545454545454541</v>
      </c>
      <c r="M17" s="4">
        <v>46220</v>
      </c>
      <c r="N17" s="1">
        <f>WEEKNUM(Tabla2610[[#This Row],[Fecha]])</f>
        <v>29</v>
      </c>
      <c r="O17" s="1" t="s">
        <v>18</v>
      </c>
      <c r="P17" s="1">
        <v>300</v>
      </c>
      <c r="Q17" s="9">
        <v>12264732</v>
      </c>
      <c r="R17" s="1" t="s">
        <v>25</v>
      </c>
      <c r="S17" s="1">
        <v>10</v>
      </c>
    </row>
    <row r="18" spans="2:19" x14ac:dyDescent="0.3">
      <c r="B18" s="4">
        <v>46220</v>
      </c>
      <c r="C18" s="1">
        <f>WEEKNUM(Tabla158[[#This Row],[Fecha]])</f>
        <v>29</v>
      </c>
      <c r="D18" s="1" t="s">
        <v>18</v>
      </c>
      <c r="E18" s="1">
        <v>600</v>
      </c>
      <c r="F18" s="9">
        <v>12264732</v>
      </c>
      <c r="G18" s="1">
        <v>77</v>
      </c>
      <c r="H18" s="1">
        <v>8</v>
      </c>
      <c r="I18" s="3">
        <f>Tabla158[[#This Row],[Piezas NOK]]/Tabla158[[#This Row],[Piezas OK]]</f>
        <v>0.1038961038961039</v>
      </c>
      <c r="J18" s="1">
        <f t="shared" si="1"/>
        <v>0.89610389610389607</v>
      </c>
      <c r="K18" s="5">
        <f>Tabla158[[#This Row],[FTQ]]</f>
        <v>0.89610389610389607</v>
      </c>
      <c r="M18" s="4">
        <v>46220</v>
      </c>
      <c r="N18" s="1">
        <f>WEEKNUM(Tabla2610[[#This Row],[Fecha]])</f>
        <v>29</v>
      </c>
      <c r="O18" s="1" t="s">
        <v>18</v>
      </c>
      <c r="P18" s="1">
        <v>300</v>
      </c>
      <c r="Q18" s="9">
        <v>12264732</v>
      </c>
      <c r="R18" s="1" t="s">
        <v>27</v>
      </c>
      <c r="S18" s="1">
        <v>5</v>
      </c>
    </row>
    <row r="19" spans="2:19" x14ac:dyDescent="0.3">
      <c r="B19" s="4">
        <v>46220</v>
      </c>
      <c r="C19" s="1">
        <f>WEEKNUM(Tabla158[[#This Row],[Fecha]])</f>
        <v>29</v>
      </c>
      <c r="D19" s="1" t="s">
        <v>18</v>
      </c>
      <c r="E19" s="1">
        <v>700</v>
      </c>
      <c r="F19" s="9">
        <v>12264732</v>
      </c>
      <c r="G19" s="1">
        <v>61</v>
      </c>
      <c r="H19" s="1">
        <v>5</v>
      </c>
      <c r="I19" s="3">
        <f>Tabla158[[#This Row],[Piezas NOK]]/Tabla158[[#This Row],[Piezas OK]]</f>
        <v>8.1967213114754092E-2</v>
      </c>
      <c r="J19" s="1">
        <f t="shared" si="1"/>
        <v>0.91803278688524592</v>
      </c>
      <c r="K19" s="5">
        <f>Tabla158[[#This Row],[FTQ]]</f>
        <v>0.91803278688524592</v>
      </c>
      <c r="M19" s="4">
        <v>46220</v>
      </c>
      <c r="N19" s="1">
        <f>WEEKNUM(Tabla2610[[#This Row],[Fecha]])</f>
        <v>29</v>
      </c>
      <c r="O19" s="1" t="s">
        <v>18</v>
      </c>
      <c r="P19" s="1">
        <v>400</v>
      </c>
      <c r="Q19" s="9">
        <v>12264732</v>
      </c>
      <c r="R19" s="1" t="s">
        <v>29</v>
      </c>
      <c r="S19" s="1">
        <v>3</v>
      </c>
    </row>
    <row r="20" spans="2:19" x14ac:dyDescent="0.3">
      <c r="B20" s="4">
        <v>46220</v>
      </c>
      <c r="C20" s="1">
        <f>WEEKNUM(Tabla158[[#This Row],[Fecha]])</f>
        <v>29</v>
      </c>
      <c r="D20" s="1" t="s">
        <v>18</v>
      </c>
      <c r="E20" s="1">
        <v>800</v>
      </c>
      <c r="F20" s="9">
        <v>12264732</v>
      </c>
      <c r="G20" s="1">
        <v>55</v>
      </c>
      <c r="H20" s="1">
        <v>3</v>
      </c>
      <c r="I20" s="3">
        <f>Tabla158[[#This Row],[Piezas NOK]]/Tabla158[[#This Row],[Piezas OK]]</f>
        <v>5.4545454545454543E-2</v>
      </c>
      <c r="J20" s="1">
        <f t="shared" si="1"/>
        <v>0.94545454545454544</v>
      </c>
      <c r="K20" s="5">
        <f>Tabla158[[#This Row],[FTQ]]</f>
        <v>0.94545454545454544</v>
      </c>
      <c r="M20" s="4">
        <v>46220</v>
      </c>
      <c r="N20" s="1">
        <f>WEEKNUM(Tabla2610[[#This Row],[Fecha]])</f>
        <v>29</v>
      </c>
      <c r="O20" s="1" t="s">
        <v>18</v>
      </c>
      <c r="P20" s="1">
        <v>400</v>
      </c>
      <c r="Q20" s="9">
        <v>12264732</v>
      </c>
      <c r="R20" s="1" t="s">
        <v>34</v>
      </c>
      <c r="S20" s="1">
        <v>3</v>
      </c>
    </row>
    <row r="21" spans="2:19" x14ac:dyDescent="0.3">
      <c r="B21" s="4">
        <v>46220</v>
      </c>
      <c r="C21" s="1">
        <f>WEEKNUM(Tabla158[[#This Row],[Fecha]])</f>
        <v>29</v>
      </c>
      <c r="D21" s="1" t="s">
        <v>18</v>
      </c>
      <c r="E21" s="1">
        <v>900</v>
      </c>
      <c r="F21" s="9">
        <v>12264732</v>
      </c>
      <c r="G21" s="1">
        <v>55</v>
      </c>
      <c r="H21" s="1">
        <v>4</v>
      </c>
      <c r="I21" s="3">
        <f>Tabla158[[#This Row],[Piezas NOK]]/Tabla158[[#This Row],[Piezas OK]]</f>
        <v>7.2727272727272724E-2</v>
      </c>
      <c r="J21" s="1">
        <f t="shared" si="1"/>
        <v>0.92727272727272725</v>
      </c>
      <c r="K21" s="5">
        <f>Tabla158[[#This Row],[FTQ]]</f>
        <v>0.92727272727272725</v>
      </c>
      <c r="M21" s="4">
        <v>46220</v>
      </c>
      <c r="N21" s="1">
        <f>WEEKNUM(Tabla2610[[#This Row],[Fecha]])</f>
        <v>29</v>
      </c>
      <c r="O21" s="1" t="s">
        <v>18</v>
      </c>
      <c r="P21" s="1">
        <v>400</v>
      </c>
      <c r="Q21" s="9">
        <v>12264732</v>
      </c>
      <c r="R21" s="1" t="s">
        <v>30</v>
      </c>
      <c r="S21" s="1">
        <v>21</v>
      </c>
    </row>
    <row r="22" spans="2:19" x14ac:dyDescent="0.3">
      <c r="B22" s="4">
        <v>46220</v>
      </c>
      <c r="C22" s="1">
        <f>WEEKNUM(Tabla158[[#This Row],[Fecha]])</f>
        <v>29</v>
      </c>
      <c r="D22" s="1" t="s">
        <v>18</v>
      </c>
      <c r="E22" s="1" t="s">
        <v>15</v>
      </c>
      <c r="F22" s="9">
        <v>12264732</v>
      </c>
      <c r="G22" s="1">
        <v>36</v>
      </c>
      <c r="H22" s="1">
        <v>1</v>
      </c>
      <c r="I22" s="3">
        <f>Tabla158[[#This Row],[Piezas NOK]]/Tabla158[[#This Row],[Piezas OK]]</f>
        <v>2.7777777777777776E-2</v>
      </c>
      <c r="J22" s="1">
        <f t="shared" si="1"/>
        <v>0.97222222222222221</v>
      </c>
      <c r="K22" s="5">
        <f>Tabla158[[#This Row],[FTQ]]</f>
        <v>0.97222222222222221</v>
      </c>
      <c r="M22" s="4">
        <v>46220</v>
      </c>
      <c r="N22" s="1">
        <f>WEEKNUM(Tabla2610[[#This Row],[Fecha]])</f>
        <v>29</v>
      </c>
      <c r="O22" s="1" t="s">
        <v>18</v>
      </c>
      <c r="P22" s="1">
        <v>400</v>
      </c>
      <c r="Q22" s="9">
        <v>12264732</v>
      </c>
      <c r="R22" s="1" t="s">
        <v>37</v>
      </c>
      <c r="S22" s="1">
        <v>3</v>
      </c>
    </row>
    <row r="23" spans="2:19" x14ac:dyDescent="0.3">
      <c r="B23" s="4">
        <v>46220</v>
      </c>
      <c r="C23" s="1">
        <f>WEEKNUM(Tabla158[[#This Row],[Fecha]])</f>
        <v>29</v>
      </c>
      <c r="D23" s="1" t="s">
        <v>18</v>
      </c>
      <c r="E23" s="1" t="s">
        <v>17</v>
      </c>
      <c r="F23" s="9">
        <v>12264732</v>
      </c>
      <c r="G23" s="1">
        <v>20</v>
      </c>
      <c r="H23" s="1">
        <v>0</v>
      </c>
      <c r="I23" s="3">
        <f>Tabla158[[#This Row],[Piezas NOK]]/Tabla158[[#This Row],[Piezas OK]]</f>
        <v>0</v>
      </c>
      <c r="J23" s="1">
        <f>ABS(G$3-I23)</f>
        <v>1</v>
      </c>
      <c r="K23" s="5">
        <f>Tabla158[[#This Row],[FTQ]]</f>
        <v>1</v>
      </c>
      <c r="M23" s="4">
        <v>46220</v>
      </c>
      <c r="N23" s="1">
        <f>WEEKNUM(Tabla2610[[#This Row],[Fecha]])</f>
        <v>29</v>
      </c>
      <c r="O23" s="1" t="s">
        <v>18</v>
      </c>
      <c r="P23" s="1">
        <v>400</v>
      </c>
      <c r="Q23" s="9">
        <v>12264732</v>
      </c>
      <c r="R23" s="1" t="s">
        <v>36</v>
      </c>
      <c r="S23" s="1">
        <v>5</v>
      </c>
    </row>
    <row r="24" spans="2:19" x14ac:dyDescent="0.3">
      <c r="B24" s="4">
        <v>46220</v>
      </c>
      <c r="C24" s="1">
        <f>WEEKNUM(Tabla158[[#This Row],[Fecha]])</f>
        <v>29</v>
      </c>
      <c r="D24" s="1" t="s">
        <v>18</v>
      </c>
      <c r="E24" s="1">
        <v>100</v>
      </c>
      <c r="F24" s="9">
        <v>12264714</v>
      </c>
      <c r="G24" s="1">
        <v>24</v>
      </c>
      <c r="H24" s="1">
        <v>0</v>
      </c>
      <c r="I24" s="3">
        <f>Tabla158[[#This Row],[Piezas NOK]]/Tabla158[[#This Row],[Piezas OK]]</f>
        <v>0</v>
      </c>
      <c r="J24" s="1">
        <f t="shared" ref="J24:J32" si="2">ABS(G$3-I24)</f>
        <v>1</v>
      </c>
      <c r="K24" s="5">
        <f>Tabla158[[#This Row],[FTQ]]</f>
        <v>1</v>
      </c>
      <c r="M24" s="4">
        <v>46220</v>
      </c>
      <c r="N24" s="1">
        <f>WEEKNUM(Tabla2610[[#This Row],[Fecha]])</f>
        <v>29</v>
      </c>
      <c r="O24" s="1" t="s">
        <v>18</v>
      </c>
      <c r="P24" s="1">
        <v>600</v>
      </c>
      <c r="Q24" s="9">
        <v>12264732</v>
      </c>
      <c r="R24" s="1" t="s">
        <v>28</v>
      </c>
      <c r="S24" s="1">
        <v>8</v>
      </c>
    </row>
    <row r="25" spans="2:19" x14ac:dyDescent="0.3">
      <c r="B25" s="4">
        <v>46220</v>
      </c>
      <c r="C25" s="1">
        <f>WEEKNUM(Tabla158[[#This Row],[Fecha]])</f>
        <v>29</v>
      </c>
      <c r="D25" s="1" t="s">
        <v>18</v>
      </c>
      <c r="E25" s="1">
        <v>200</v>
      </c>
      <c r="F25" s="9">
        <v>12264714</v>
      </c>
      <c r="G25" s="1">
        <v>24</v>
      </c>
      <c r="H25" s="1">
        <v>0</v>
      </c>
      <c r="I25" s="3">
        <f>Tabla158[[#This Row],[Piezas NOK]]/Tabla158[[#This Row],[Piezas OK]]</f>
        <v>0</v>
      </c>
      <c r="J25" s="1">
        <f t="shared" si="2"/>
        <v>1</v>
      </c>
      <c r="K25" s="5">
        <f>Tabla158[[#This Row],[FTQ]]</f>
        <v>1</v>
      </c>
      <c r="M25" s="4">
        <v>46220</v>
      </c>
      <c r="N25" s="1">
        <f>WEEKNUM(Tabla2610[[#This Row],[Fecha]])</f>
        <v>29</v>
      </c>
      <c r="O25" s="1" t="s">
        <v>18</v>
      </c>
      <c r="P25" s="1">
        <v>600</v>
      </c>
      <c r="Q25" s="9">
        <v>12264714</v>
      </c>
      <c r="R25" s="1" t="s">
        <v>28</v>
      </c>
      <c r="S25" s="1">
        <v>1</v>
      </c>
    </row>
    <row r="26" spans="2:19" x14ac:dyDescent="0.3">
      <c r="B26" s="4">
        <v>46220</v>
      </c>
      <c r="C26" s="1">
        <f>WEEKNUM(Tabla158[[#This Row],[Fecha]])</f>
        <v>29</v>
      </c>
      <c r="D26" s="1" t="s">
        <v>18</v>
      </c>
      <c r="E26" s="1">
        <v>300</v>
      </c>
      <c r="F26" s="9">
        <v>12264714</v>
      </c>
      <c r="G26" s="1">
        <v>13</v>
      </c>
      <c r="H26" s="1">
        <v>0</v>
      </c>
      <c r="I26" s="3">
        <f>Tabla158[[#This Row],[Piezas NOK]]/Tabla158[[#This Row],[Piezas OK]]</f>
        <v>0</v>
      </c>
      <c r="J26" s="1">
        <f t="shared" si="2"/>
        <v>1</v>
      </c>
      <c r="K26" s="5">
        <f>Tabla158[[#This Row],[FTQ]]</f>
        <v>1</v>
      </c>
      <c r="M26" s="4">
        <v>46220</v>
      </c>
      <c r="N26" s="1">
        <f>WEEKNUM(Tabla2610[[#This Row],[Fecha]])</f>
        <v>29</v>
      </c>
      <c r="O26" s="1" t="s">
        <v>18</v>
      </c>
      <c r="P26" s="1">
        <v>700</v>
      </c>
      <c r="Q26" s="9">
        <v>12264732</v>
      </c>
      <c r="R26" s="1" t="s">
        <v>40</v>
      </c>
      <c r="S26" s="1">
        <v>4</v>
      </c>
    </row>
    <row r="27" spans="2:19" x14ac:dyDescent="0.3">
      <c r="B27" s="4">
        <v>46220</v>
      </c>
      <c r="C27" s="1">
        <f>WEEKNUM(Tabla158[[#This Row],[Fecha]])</f>
        <v>29</v>
      </c>
      <c r="D27" s="1" t="s">
        <v>18</v>
      </c>
      <c r="E27" s="1">
        <v>400</v>
      </c>
      <c r="F27" s="9">
        <v>12264714</v>
      </c>
      <c r="G27" s="1">
        <v>13</v>
      </c>
      <c r="H27" s="1">
        <v>0</v>
      </c>
      <c r="I27" s="3">
        <f>Tabla158[[#This Row],[Piezas NOK]]/Tabla158[[#This Row],[Piezas OK]]</f>
        <v>0</v>
      </c>
      <c r="J27" s="1">
        <f t="shared" si="2"/>
        <v>1</v>
      </c>
      <c r="K27" s="5">
        <f>Tabla158[[#This Row],[FTQ]]</f>
        <v>1</v>
      </c>
      <c r="M27" s="4">
        <v>46220</v>
      </c>
      <c r="N27" s="1">
        <f>WEEKNUM(Tabla2610[[#This Row],[Fecha]])</f>
        <v>29</v>
      </c>
      <c r="O27" s="1" t="s">
        <v>18</v>
      </c>
      <c r="P27" s="1">
        <v>700</v>
      </c>
      <c r="Q27" s="9">
        <v>12264732</v>
      </c>
      <c r="R27" s="1" t="s">
        <v>31</v>
      </c>
      <c r="S27" s="1">
        <v>1</v>
      </c>
    </row>
    <row r="28" spans="2:19" x14ac:dyDescent="0.3">
      <c r="B28" s="4">
        <v>46220</v>
      </c>
      <c r="C28" s="1">
        <f>WEEKNUM(Tabla158[[#This Row],[Fecha]])</f>
        <v>29</v>
      </c>
      <c r="D28" s="1" t="s">
        <v>18</v>
      </c>
      <c r="E28" s="1">
        <v>600</v>
      </c>
      <c r="F28" s="9">
        <v>12264714</v>
      </c>
      <c r="G28" s="1">
        <v>15</v>
      </c>
      <c r="H28" s="1">
        <v>1</v>
      </c>
      <c r="I28" s="3">
        <f>Tabla158[[#This Row],[Piezas NOK]]/Tabla158[[#This Row],[Piezas OK]]</f>
        <v>6.6666666666666666E-2</v>
      </c>
      <c r="J28" s="1">
        <f t="shared" si="2"/>
        <v>0.93333333333333335</v>
      </c>
      <c r="K28" s="5">
        <f>Tabla158[[#This Row],[FTQ]]</f>
        <v>0.93333333333333335</v>
      </c>
      <c r="M28" s="4">
        <v>46220</v>
      </c>
      <c r="N28" s="1">
        <f>WEEKNUM(Tabla2610[[#This Row],[Fecha]])</f>
        <v>29</v>
      </c>
      <c r="O28" s="1" t="s">
        <v>18</v>
      </c>
      <c r="P28" s="1">
        <v>800</v>
      </c>
      <c r="Q28" s="9">
        <v>12264732</v>
      </c>
      <c r="R28" s="1" t="s">
        <v>22</v>
      </c>
      <c r="S28" s="1">
        <v>3</v>
      </c>
    </row>
    <row r="29" spans="2:19" x14ac:dyDescent="0.3">
      <c r="B29" s="4">
        <v>46220</v>
      </c>
      <c r="C29" s="1">
        <f>WEEKNUM(Tabla158[[#This Row],[Fecha]])</f>
        <v>29</v>
      </c>
      <c r="D29" s="1" t="s">
        <v>18</v>
      </c>
      <c r="E29" s="1">
        <v>700</v>
      </c>
      <c r="F29" s="9">
        <v>12264714</v>
      </c>
      <c r="G29" s="1">
        <v>15</v>
      </c>
      <c r="H29" s="1">
        <v>0</v>
      </c>
      <c r="I29" s="3">
        <f>Tabla158[[#This Row],[Piezas NOK]]/Tabla158[[#This Row],[Piezas OK]]</f>
        <v>0</v>
      </c>
      <c r="J29" s="1">
        <f t="shared" si="2"/>
        <v>1</v>
      </c>
      <c r="K29" s="5">
        <f>Tabla158[[#This Row],[FTQ]]</f>
        <v>1</v>
      </c>
      <c r="M29" s="4">
        <v>46220</v>
      </c>
      <c r="N29" s="1">
        <f>WEEKNUM(Tabla2610[[#This Row],[Fecha]])</f>
        <v>29</v>
      </c>
      <c r="O29" s="1" t="s">
        <v>18</v>
      </c>
      <c r="P29" s="1">
        <v>900</v>
      </c>
      <c r="Q29" s="9">
        <v>12264732</v>
      </c>
      <c r="R29" s="1" t="s">
        <v>32</v>
      </c>
      <c r="S29" s="1">
        <v>4</v>
      </c>
    </row>
    <row r="30" spans="2:19" x14ac:dyDescent="0.3">
      <c r="B30" s="4">
        <v>46220</v>
      </c>
      <c r="C30" s="1">
        <f>WEEKNUM(Tabla158[[#This Row],[Fecha]])</f>
        <v>29</v>
      </c>
      <c r="D30" s="1" t="s">
        <v>18</v>
      </c>
      <c r="E30" s="1">
        <v>800</v>
      </c>
      <c r="F30" s="9">
        <v>12264714</v>
      </c>
      <c r="G30" s="1">
        <v>13</v>
      </c>
      <c r="H30" s="1">
        <v>0</v>
      </c>
      <c r="I30" s="3">
        <f>Tabla158[[#This Row],[Piezas NOK]]/Tabla158[[#This Row],[Piezas OK]]</f>
        <v>0</v>
      </c>
      <c r="J30" s="1">
        <f t="shared" si="2"/>
        <v>1</v>
      </c>
      <c r="K30" s="5">
        <f>Tabla158[[#This Row],[FTQ]]</f>
        <v>1</v>
      </c>
      <c r="M30" s="4">
        <v>46220</v>
      </c>
      <c r="N30" s="1">
        <f>WEEKNUM(Tabla2610[[#This Row],[Fecha]])</f>
        <v>29</v>
      </c>
      <c r="O30" s="1" t="s">
        <v>18</v>
      </c>
      <c r="P30" s="1" t="s">
        <v>15</v>
      </c>
      <c r="Q30" s="9">
        <v>12264732</v>
      </c>
      <c r="R30" s="1" t="s">
        <v>44</v>
      </c>
      <c r="S30" s="1">
        <v>1</v>
      </c>
    </row>
    <row r="31" spans="2:19" x14ac:dyDescent="0.3">
      <c r="B31" s="4">
        <v>46220</v>
      </c>
      <c r="C31" s="1">
        <f>WEEKNUM(Tabla158[[#This Row],[Fecha]])</f>
        <v>29</v>
      </c>
      <c r="D31" s="1" t="s">
        <v>18</v>
      </c>
      <c r="E31" s="1">
        <v>900</v>
      </c>
      <c r="F31" s="9">
        <v>12264714</v>
      </c>
      <c r="G31" s="1">
        <v>4</v>
      </c>
      <c r="H31" s="1">
        <v>0</v>
      </c>
      <c r="I31" s="3">
        <f>Tabla158[[#This Row],[Piezas NOK]]/Tabla158[[#This Row],[Piezas OK]]</f>
        <v>0</v>
      </c>
      <c r="J31" s="1">
        <f t="shared" si="2"/>
        <v>1</v>
      </c>
      <c r="K31" s="5">
        <f>Tabla158[[#This Row],[FTQ]]</f>
        <v>1</v>
      </c>
      <c r="M31" s="4">
        <v>46223</v>
      </c>
      <c r="N31" s="12">
        <f>WEEKNUM(Tabla2610[[#This Row],[Fecha]])</f>
        <v>30</v>
      </c>
      <c r="O31" s="1" t="s">
        <v>18</v>
      </c>
      <c r="P31" s="1">
        <v>200</v>
      </c>
      <c r="Q31" s="9">
        <v>12264714</v>
      </c>
      <c r="R31" s="1" t="s">
        <v>26</v>
      </c>
      <c r="S31" s="1">
        <v>1</v>
      </c>
    </row>
    <row r="32" spans="2:19" x14ac:dyDescent="0.3">
      <c r="B32" s="4">
        <v>46220</v>
      </c>
      <c r="C32" s="1">
        <f>WEEKNUM(Tabla158[[#This Row],[Fecha]])</f>
        <v>29</v>
      </c>
      <c r="D32" s="1" t="s">
        <v>18</v>
      </c>
      <c r="E32" s="1" t="s">
        <v>15</v>
      </c>
      <c r="F32" s="9">
        <v>12264714</v>
      </c>
      <c r="G32" s="1">
        <v>3</v>
      </c>
      <c r="H32" s="1">
        <v>0</v>
      </c>
      <c r="I32" s="3">
        <f>Tabla158[[#This Row],[Piezas NOK]]/Tabla158[[#This Row],[Piezas OK]]</f>
        <v>0</v>
      </c>
      <c r="J32" s="1">
        <f t="shared" si="2"/>
        <v>1</v>
      </c>
      <c r="K32" s="5">
        <f>Tabla158[[#This Row],[FTQ]]</f>
        <v>1</v>
      </c>
      <c r="M32" s="4">
        <v>46223</v>
      </c>
      <c r="N32" s="12">
        <f>WEEKNUM(Tabla2610[[#This Row],[Fecha]])</f>
        <v>30</v>
      </c>
      <c r="O32" s="1" t="s">
        <v>18</v>
      </c>
      <c r="P32" s="1">
        <v>300</v>
      </c>
      <c r="Q32" s="9">
        <v>12264714</v>
      </c>
      <c r="R32" s="1" t="s">
        <v>25</v>
      </c>
      <c r="S32" s="1">
        <v>4</v>
      </c>
    </row>
    <row r="33" spans="2:19" x14ac:dyDescent="0.3">
      <c r="B33" s="4">
        <v>46220</v>
      </c>
      <c r="C33" s="1">
        <f>WEEKNUM(Tabla158[[#This Row],[Fecha]])</f>
        <v>29</v>
      </c>
      <c r="D33" s="1" t="s">
        <v>18</v>
      </c>
      <c r="E33" s="1" t="s">
        <v>17</v>
      </c>
      <c r="F33" s="9">
        <v>12264714</v>
      </c>
      <c r="G33" s="1">
        <v>1</v>
      </c>
      <c r="H33" s="1">
        <v>0</v>
      </c>
      <c r="I33" s="3">
        <f>Tabla158[[#This Row],[Piezas NOK]]/Tabla158[[#This Row],[Piezas OK]]</f>
        <v>0</v>
      </c>
      <c r="J33" s="1">
        <f>ABS(G$3-I33)</f>
        <v>1</v>
      </c>
      <c r="K33" s="5">
        <f>Tabla158[[#This Row],[FTQ]]</f>
        <v>1</v>
      </c>
      <c r="M33" s="4">
        <v>46223</v>
      </c>
      <c r="N33" s="12">
        <f>WEEKNUM(Tabla2610[[#This Row],[Fecha]])</f>
        <v>30</v>
      </c>
      <c r="O33" s="1" t="s">
        <v>18</v>
      </c>
      <c r="P33" s="1">
        <v>400</v>
      </c>
      <c r="Q33" s="9">
        <v>12264714</v>
      </c>
      <c r="R33" s="1" t="s">
        <v>29</v>
      </c>
      <c r="S33" s="1">
        <v>1</v>
      </c>
    </row>
    <row r="34" spans="2:19" x14ac:dyDescent="0.3">
      <c r="B34" s="4">
        <v>46223</v>
      </c>
      <c r="C34" s="1">
        <f>WEEKNUM(Tabla158[[#This Row],[Fecha]])</f>
        <v>30</v>
      </c>
      <c r="D34" s="1" t="s">
        <v>18</v>
      </c>
      <c r="E34" s="1">
        <v>100</v>
      </c>
      <c r="F34" s="9">
        <v>12264714</v>
      </c>
      <c r="G34" s="1">
        <v>78</v>
      </c>
      <c r="H34" s="1">
        <v>0</v>
      </c>
      <c r="I34" s="3">
        <f>Tabla158[[#This Row],[Piezas NOK]]/Tabla158[[#This Row],[Piezas OK]]</f>
        <v>0</v>
      </c>
      <c r="J34" s="1">
        <f t="shared" ref="J34:J44" si="3">ABS(G$3-I34)</f>
        <v>1</v>
      </c>
      <c r="K34" s="5">
        <f>Tabla158[[#This Row],[FTQ]]</f>
        <v>1</v>
      </c>
      <c r="M34" s="4">
        <v>46223</v>
      </c>
      <c r="N34" s="12">
        <f>WEEKNUM(Tabla2610[[#This Row],[Fecha]])</f>
        <v>30</v>
      </c>
      <c r="O34" s="1" t="s">
        <v>18</v>
      </c>
      <c r="P34" s="1">
        <v>400</v>
      </c>
      <c r="Q34" s="9">
        <v>12264714</v>
      </c>
      <c r="R34" s="1" t="s">
        <v>34</v>
      </c>
      <c r="S34" s="1">
        <v>3</v>
      </c>
    </row>
    <row r="35" spans="2:19" x14ac:dyDescent="0.3">
      <c r="B35" s="4">
        <v>46223</v>
      </c>
      <c r="C35" s="1">
        <f>WEEKNUM(Tabla158[[#This Row],[Fecha]])</f>
        <v>30</v>
      </c>
      <c r="D35" s="1" t="s">
        <v>18</v>
      </c>
      <c r="E35" s="1">
        <v>200</v>
      </c>
      <c r="F35" s="9">
        <v>12264714</v>
      </c>
      <c r="G35" s="1">
        <v>69</v>
      </c>
      <c r="H35" s="10">
        <v>1</v>
      </c>
      <c r="I35" s="3">
        <f>Tabla158[[#This Row],[Piezas NOK]]/Tabla158[[#This Row],[Piezas OK]]</f>
        <v>1.4492753623188406E-2</v>
      </c>
      <c r="J35" s="1">
        <f t="shared" si="3"/>
        <v>0.98550724637681164</v>
      </c>
      <c r="K35" s="5">
        <f>Tabla158[[#This Row],[FTQ]]</f>
        <v>0.98550724637681164</v>
      </c>
      <c r="M35" s="4">
        <v>46223</v>
      </c>
      <c r="N35" s="12">
        <f>WEEKNUM(Tabla2610[[#This Row],[Fecha]])</f>
        <v>30</v>
      </c>
      <c r="O35" s="1" t="s">
        <v>18</v>
      </c>
      <c r="P35" s="1">
        <v>400</v>
      </c>
      <c r="Q35" s="9">
        <v>12264714</v>
      </c>
      <c r="R35" s="1" t="s">
        <v>30</v>
      </c>
      <c r="S35" s="1">
        <v>1</v>
      </c>
    </row>
    <row r="36" spans="2:19" x14ac:dyDescent="0.3">
      <c r="B36" s="4">
        <v>46223</v>
      </c>
      <c r="C36" s="1">
        <f>WEEKNUM(Tabla158[[#This Row],[Fecha]])</f>
        <v>30</v>
      </c>
      <c r="D36" s="1" t="s">
        <v>18</v>
      </c>
      <c r="E36" s="1">
        <v>300</v>
      </c>
      <c r="F36" s="9">
        <v>12264714</v>
      </c>
      <c r="G36" s="1">
        <v>66</v>
      </c>
      <c r="H36" s="1">
        <v>4</v>
      </c>
      <c r="I36" s="3">
        <f>Tabla158[[#This Row],[Piezas NOK]]/Tabla158[[#This Row],[Piezas OK]]</f>
        <v>6.0606060606060608E-2</v>
      </c>
      <c r="J36" s="1">
        <f t="shared" si="3"/>
        <v>0.93939393939393945</v>
      </c>
      <c r="K36" s="5">
        <f>Tabla158[[#This Row],[FTQ]]</f>
        <v>0.93939393939393945</v>
      </c>
      <c r="M36" s="4">
        <v>46223</v>
      </c>
      <c r="N36" s="12">
        <f>WEEKNUM(Tabla2610[[#This Row],[Fecha]])</f>
        <v>30</v>
      </c>
      <c r="O36" s="1" t="s">
        <v>18</v>
      </c>
      <c r="P36" s="1">
        <v>400</v>
      </c>
      <c r="Q36" s="9">
        <v>12264714</v>
      </c>
      <c r="R36" s="1" t="s">
        <v>37</v>
      </c>
      <c r="S36" s="1">
        <v>2</v>
      </c>
    </row>
    <row r="37" spans="2:19" x14ac:dyDescent="0.3">
      <c r="B37" s="4">
        <v>46223</v>
      </c>
      <c r="C37" s="1">
        <f>WEEKNUM(Tabla158[[#This Row],[Fecha]])</f>
        <v>30</v>
      </c>
      <c r="D37" s="1" t="s">
        <v>18</v>
      </c>
      <c r="E37" s="1">
        <v>400</v>
      </c>
      <c r="F37" s="9">
        <v>12264714</v>
      </c>
      <c r="G37" s="1">
        <v>50</v>
      </c>
      <c r="H37" s="1">
        <v>24</v>
      </c>
      <c r="I37" s="3">
        <f>Tabla158[[#This Row],[Piezas NOK]]/Tabla158[[#This Row],[Piezas OK]]</f>
        <v>0.48</v>
      </c>
      <c r="J37" s="1">
        <f t="shared" si="3"/>
        <v>0.52</v>
      </c>
      <c r="K37" s="5">
        <f>Tabla158[[#This Row],[FTQ]]</f>
        <v>0.52</v>
      </c>
      <c r="M37" s="4">
        <v>46223</v>
      </c>
      <c r="N37" s="12">
        <f>WEEKNUM(Tabla2610[[#This Row],[Fecha]])</f>
        <v>30</v>
      </c>
      <c r="O37" s="1" t="s">
        <v>18</v>
      </c>
      <c r="P37" s="1">
        <v>400</v>
      </c>
      <c r="Q37" s="9">
        <v>12264714</v>
      </c>
      <c r="R37" s="1" t="s">
        <v>36</v>
      </c>
      <c r="S37" s="1">
        <v>3</v>
      </c>
    </row>
    <row r="38" spans="2:19" x14ac:dyDescent="0.3">
      <c r="B38" s="4">
        <v>46223</v>
      </c>
      <c r="C38" s="1">
        <f>WEEKNUM(Tabla158[[#This Row],[Fecha]])</f>
        <v>30</v>
      </c>
      <c r="D38" s="1" t="s">
        <v>18</v>
      </c>
      <c r="E38" s="1">
        <v>600</v>
      </c>
      <c r="F38" s="9">
        <v>12264714</v>
      </c>
      <c r="G38" s="1">
        <v>35</v>
      </c>
      <c r="H38" s="1">
        <v>4</v>
      </c>
      <c r="I38" s="3">
        <f>Tabla158[[#This Row],[Piezas NOK]]/Tabla158[[#This Row],[Piezas OK]]</f>
        <v>0.11428571428571428</v>
      </c>
      <c r="J38" s="1">
        <f t="shared" si="3"/>
        <v>0.88571428571428568</v>
      </c>
      <c r="K38" s="5">
        <f>Tabla158[[#This Row],[FTQ]]</f>
        <v>0.88571428571428568</v>
      </c>
      <c r="M38" s="4">
        <v>46223</v>
      </c>
      <c r="N38" s="12">
        <f>WEEKNUM(Tabla2610[[#This Row],[Fecha]])</f>
        <v>30</v>
      </c>
      <c r="O38" s="1" t="s">
        <v>18</v>
      </c>
      <c r="P38" s="1">
        <v>400</v>
      </c>
      <c r="Q38" s="9">
        <v>12264714</v>
      </c>
      <c r="R38" s="1" t="s">
        <v>35</v>
      </c>
      <c r="S38" s="1">
        <v>2</v>
      </c>
    </row>
    <row r="39" spans="2:19" x14ac:dyDescent="0.3">
      <c r="B39" s="4">
        <v>46223</v>
      </c>
      <c r="C39" s="1">
        <f>WEEKNUM(Tabla158[[#This Row],[Fecha]])</f>
        <v>30</v>
      </c>
      <c r="D39" s="1" t="s">
        <v>18</v>
      </c>
      <c r="E39" s="1">
        <v>700</v>
      </c>
      <c r="F39" s="9">
        <v>12264714</v>
      </c>
      <c r="G39" s="1">
        <v>35</v>
      </c>
      <c r="H39" s="1">
        <v>9</v>
      </c>
      <c r="I39" s="3">
        <f>Tabla158[[#This Row],[Piezas NOK]]/Tabla158[[#This Row],[Piezas OK]]</f>
        <v>0.25714285714285712</v>
      </c>
      <c r="J39" s="1">
        <f t="shared" si="3"/>
        <v>0.74285714285714288</v>
      </c>
      <c r="K39" s="5">
        <f>Tabla158[[#This Row],[FTQ]]</f>
        <v>0.74285714285714288</v>
      </c>
      <c r="M39" s="4">
        <v>46223</v>
      </c>
      <c r="N39" s="12">
        <f>WEEKNUM(Tabla2610[[#This Row],[Fecha]])</f>
        <v>30</v>
      </c>
      <c r="O39" s="1" t="s">
        <v>18</v>
      </c>
      <c r="P39" s="1">
        <v>600</v>
      </c>
      <c r="Q39" s="9">
        <v>12264714</v>
      </c>
      <c r="R39" s="1" t="s">
        <v>38</v>
      </c>
      <c r="S39" s="1">
        <v>1</v>
      </c>
    </row>
    <row r="40" spans="2:19" x14ac:dyDescent="0.3">
      <c r="B40" s="4">
        <v>46223</v>
      </c>
      <c r="C40" s="1">
        <f>WEEKNUM(Tabla158[[#This Row],[Fecha]])</f>
        <v>30</v>
      </c>
      <c r="D40" s="1" t="s">
        <v>18</v>
      </c>
      <c r="E40" s="1">
        <v>800</v>
      </c>
      <c r="F40" s="9">
        <v>12264714</v>
      </c>
      <c r="G40" s="1">
        <v>35</v>
      </c>
      <c r="H40" s="1">
        <v>14</v>
      </c>
      <c r="I40" s="3">
        <f>Tabla158[[#This Row],[Piezas NOK]]/Tabla158[[#This Row],[Piezas OK]]</f>
        <v>0.4</v>
      </c>
      <c r="J40" s="1">
        <f t="shared" si="3"/>
        <v>0.6</v>
      </c>
      <c r="K40" s="5">
        <f>Tabla158[[#This Row],[FTQ]]</f>
        <v>0.6</v>
      </c>
      <c r="M40" s="4">
        <v>46223</v>
      </c>
      <c r="N40" s="12">
        <f>WEEKNUM(Tabla2610[[#This Row],[Fecha]])</f>
        <v>30</v>
      </c>
      <c r="O40" s="1" t="s">
        <v>18</v>
      </c>
      <c r="P40" s="1">
        <v>600</v>
      </c>
      <c r="Q40" s="9">
        <v>12264714</v>
      </c>
      <c r="R40" s="1" t="s">
        <v>39</v>
      </c>
      <c r="S40" s="1">
        <v>3</v>
      </c>
    </row>
    <row r="41" spans="2:19" x14ac:dyDescent="0.3">
      <c r="B41" s="4">
        <v>46223</v>
      </c>
      <c r="C41" s="1">
        <f>WEEKNUM(Tabla158[[#This Row],[Fecha]])</f>
        <v>30</v>
      </c>
      <c r="D41" s="1" t="s">
        <v>18</v>
      </c>
      <c r="E41" s="1">
        <v>900</v>
      </c>
      <c r="F41" s="9">
        <v>12264714</v>
      </c>
      <c r="G41" s="1">
        <v>21</v>
      </c>
      <c r="H41" s="1">
        <v>0</v>
      </c>
      <c r="I41" s="3">
        <f>Tabla158[[#This Row],[Piezas NOK]]/Tabla158[[#This Row],[Piezas OK]]</f>
        <v>0</v>
      </c>
      <c r="J41" s="1">
        <f t="shared" si="3"/>
        <v>1</v>
      </c>
      <c r="K41" s="5">
        <f>Tabla158[[#This Row],[FTQ]]</f>
        <v>1</v>
      </c>
      <c r="M41" s="4">
        <v>46223</v>
      </c>
      <c r="N41" s="12">
        <f>WEEKNUM(Tabla2610[[#This Row],[Fecha]])</f>
        <v>30</v>
      </c>
      <c r="O41" s="1" t="s">
        <v>18</v>
      </c>
      <c r="P41" s="1">
        <v>700</v>
      </c>
      <c r="Q41" s="9">
        <v>12264714</v>
      </c>
      <c r="R41" s="1" t="s">
        <v>40</v>
      </c>
      <c r="S41" s="1">
        <v>7</v>
      </c>
    </row>
    <row r="42" spans="2:19" x14ac:dyDescent="0.3">
      <c r="B42" s="4">
        <v>46223</v>
      </c>
      <c r="C42" s="1">
        <f>WEEKNUM(Tabla158[[#This Row],[Fecha]])</f>
        <v>30</v>
      </c>
      <c r="D42" s="1" t="s">
        <v>18</v>
      </c>
      <c r="E42" s="1" t="s">
        <v>15</v>
      </c>
      <c r="F42" s="9">
        <v>12264714</v>
      </c>
      <c r="G42" s="1">
        <v>21</v>
      </c>
      <c r="H42" s="1">
        <v>0</v>
      </c>
      <c r="I42" s="3">
        <f>Tabla158[[#This Row],[Piezas NOK]]/Tabla158[[#This Row],[Piezas OK]]</f>
        <v>0</v>
      </c>
      <c r="J42" s="1">
        <f t="shared" si="3"/>
        <v>1</v>
      </c>
      <c r="K42" s="5">
        <f>Tabla158[[#This Row],[FTQ]]</f>
        <v>1</v>
      </c>
      <c r="M42" s="4">
        <v>46223</v>
      </c>
      <c r="N42" s="12">
        <f>WEEKNUM(Tabla2610[[#This Row],[Fecha]])</f>
        <v>30</v>
      </c>
      <c r="O42" s="1" t="s">
        <v>18</v>
      </c>
      <c r="P42" s="1">
        <v>700</v>
      </c>
      <c r="Q42" s="9">
        <v>12264714</v>
      </c>
      <c r="R42" s="1" t="s">
        <v>31</v>
      </c>
      <c r="S42" s="1">
        <v>2</v>
      </c>
    </row>
    <row r="43" spans="2:19" x14ac:dyDescent="0.3">
      <c r="B43" s="4">
        <v>46223</v>
      </c>
      <c r="C43" s="1">
        <f>WEEKNUM(Tabla158[[#This Row],[Fecha]])</f>
        <v>30</v>
      </c>
      <c r="D43" s="1" t="s">
        <v>18</v>
      </c>
      <c r="E43" s="1" t="s">
        <v>17</v>
      </c>
      <c r="F43" s="9">
        <v>12264714</v>
      </c>
      <c r="G43" s="1">
        <v>10</v>
      </c>
      <c r="H43" s="1">
        <v>0</v>
      </c>
      <c r="I43" s="3">
        <f>Tabla158[[#This Row],[Piezas NOK]]/Tabla158[[#This Row],[Piezas OK]]</f>
        <v>0</v>
      </c>
      <c r="J43" s="1">
        <f t="shared" si="3"/>
        <v>1</v>
      </c>
      <c r="K43" s="5">
        <f>Tabla158[[#This Row],[FTQ]]</f>
        <v>1</v>
      </c>
      <c r="M43" s="4">
        <v>46223</v>
      </c>
      <c r="N43" s="1">
        <f>WEEKNUM(Tabla2610[[#This Row],[Fecha]])</f>
        <v>30</v>
      </c>
      <c r="O43" s="1" t="s">
        <v>18</v>
      </c>
      <c r="P43" s="1">
        <v>800</v>
      </c>
      <c r="Q43" s="9">
        <v>12264714</v>
      </c>
      <c r="R43" s="1" t="s">
        <v>21</v>
      </c>
      <c r="S43" s="1">
        <v>14</v>
      </c>
    </row>
    <row r="44" spans="2:19" x14ac:dyDescent="0.3">
      <c r="B44" s="4">
        <v>46227</v>
      </c>
      <c r="C44" s="1">
        <f>WEEKNUM(Tabla158[[#This Row],[Fecha]])</f>
        <v>30</v>
      </c>
      <c r="D44" s="1" t="s">
        <v>18</v>
      </c>
      <c r="E44" s="1">
        <v>100</v>
      </c>
      <c r="F44" s="9">
        <v>12260416</v>
      </c>
      <c r="G44" s="1">
        <v>30</v>
      </c>
      <c r="H44" s="1">
        <v>0</v>
      </c>
      <c r="I44" s="3">
        <f>Tabla158[[#This Row],[Piezas NOK]]/Tabla158[[#This Row],[Piezas OK]]</f>
        <v>0</v>
      </c>
      <c r="J44" s="1">
        <f t="shared" si="3"/>
        <v>1</v>
      </c>
      <c r="K44" s="5">
        <f>Tabla158[[#This Row],[FTQ]]</f>
        <v>1</v>
      </c>
      <c r="M44" s="4">
        <v>46227</v>
      </c>
      <c r="N44" s="12">
        <f>WEEKNUM(Tabla2610[[#This Row],[Fecha]])</f>
        <v>30</v>
      </c>
      <c r="O44" s="1" t="s">
        <v>18</v>
      </c>
      <c r="P44" s="1">
        <v>200</v>
      </c>
      <c r="Q44" s="9">
        <v>12260416</v>
      </c>
      <c r="R44" s="1" t="s">
        <v>26</v>
      </c>
      <c r="S44" s="1">
        <v>1</v>
      </c>
    </row>
    <row r="45" spans="2:19" x14ac:dyDescent="0.3">
      <c r="B45" s="4">
        <v>46227</v>
      </c>
      <c r="C45" s="12">
        <f>WEEKNUM(Tabla158[[#This Row],[Fecha]])</f>
        <v>30</v>
      </c>
      <c r="D45" s="1" t="s">
        <v>18</v>
      </c>
      <c r="E45" s="1">
        <v>200</v>
      </c>
      <c r="F45" s="9">
        <v>12260416</v>
      </c>
      <c r="G45" s="1">
        <v>25</v>
      </c>
      <c r="H45" s="1">
        <v>1</v>
      </c>
      <c r="I45" s="3">
        <f>Tabla158[[#This Row],[Piezas NOK]]/Tabla158[[#This Row],[Piezas OK]]</f>
        <v>0.04</v>
      </c>
      <c r="J45" s="12">
        <f t="shared" ref="J45:J52" si="4">ABS(G$3-I45)</f>
        <v>0.96</v>
      </c>
      <c r="K45" s="5">
        <f>Tabla158[[#This Row],[FTQ]]</f>
        <v>0.96</v>
      </c>
      <c r="M45" s="4">
        <v>46227</v>
      </c>
      <c r="N45" s="12">
        <f>WEEKNUM(Tabla2610[[#This Row],[Fecha]])</f>
        <v>30</v>
      </c>
      <c r="O45" s="1" t="s">
        <v>18</v>
      </c>
      <c r="P45" s="1">
        <v>300</v>
      </c>
      <c r="Q45" s="9">
        <v>12260416</v>
      </c>
      <c r="R45" s="1" t="s">
        <v>25</v>
      </c>
      <c r="S45" s="1">
        <v>4</v>
      </c>
    </row>
    <row r="46" spans="2:19" x14ac:dyDescent="0.3">
      <c r="B46" s="4">
        <v>46227</v>
      </c>
      <c r="C46" s="12">
        <f>WEEKNUM(Tabla158[[#This Row],[Fecha]])</f>
        <v>30</v>
      </c>
      <c r="D46" s="1" t="s">
        <v>18</v>
      </c>
      <c r="E46" s="1">
        <v>300</v>
      </c>
      <c r="F46" s="9">
        <v>12260416</v>
      </c>
      <c r="G46" s="1">
        <v>16</v>
      </c>
      <c r="H46" s="1">
        <v>4</v>
      </c>
      <c r="I46" s="3">
        <f>Tabla158[[#This Row],[Piezas NOK]]/Tabla158[[#This Row],[Piezas OK]]</f>
        <v>0.25</v>
      </c>
      <c r="J46" s="12">
        <f t="shared" si="4"/>
        <v>0.75</v>
      </c>
      <c r="K46" s="5">
        <f>Tabla158[[#This Row],[FTQ]]</f>
        <v>0.75</v>
      </c>
      <c r="M46" s="4">
        <v>46227</v>
      </c>
      <c r="N46" s="12">
        <f>WEEKNUM(Tabla2610[[#This Row],[Fecha]])</f>
        <v>30</v>
      </c>
      <c r="O46" s="1" t="s">
        <v>18</v>
      </c>
      <c r="P46" s="1">
        <v>300</v>
      </c>
      <c r="Q46" s="9">
        <v>12260416</v>
      </c>
      <c r="R46" s="1" t="s">
        <v>27</v>
      </c>
      <c r="S46" s="1">
        <v>4</v>
      </c>
    </row>
    <row r="47" spans="2:19" x14ac:dyDescent="0.3">
      <c r="B47" s="4">
        <v>46227</v>
      </c>
      <c r="C47" s="12">
        <f>WEEKNUM(Tabla158[[#This Row],[Fecha]])</f>
        <v>30</v>
      </c>
      <c r="D47" s="1" t="s">
        <v>18</v>
      </c>
      <c r="E47" s="1">
        <v>400</v>
      </c>
      <c r="F47" s="9">
        <v>12260416</v>
      </c>
      <c r="G47" s="1">
        <v>20</v>
      </c>
      <c r="H47" s="1">
        <v>10</v>
      </c>
      <c r="I47" s="3">
        <f>Tabla158[[#This Row],[Piezas NOK]]/Tabla158[[#This Row],[Piezas OK]]</f>
        <v>0.5</v>
      </c>
      <c r="J47" s="12">
        <f t="shared" si="4"/>
        <v>0.5</v>
      </c>
      <c r="K47" s="5">
        <f>Tabla158[[#This Row],[FTQ]]</f>
        <v>0.5</v>
      </c>
      <c r="M47" s="4">
        <v>46227</v>
      </c>
      <c r="N47" s="12">
        <f>WEEKNUM(Tabla2610[[#This Row],[Fecha]])</f>
        <v>30</v>
      </c>
      <c r="O47" s="1" t="s">
        <v>18</v>
      </c>
      <c r="P47" s="1">
        <v>400</v>
      </c>
      <c r="Q47" s="9">
        <v>12260416</v>
      </c>
      <c r="R47" s="1" t="s">
        <v>41</v>
      </c>
      <c r="S47" s="1">
        <v>6</v>
      </c>
    </row>
    <row r="48" spans="2:19" x14ac:dyDescent="0.3">
      <c r="B48" s="4">
        <v>46227</v>
      </c>
      <c r="C48" s="12">
        <f>WEEKNUM(Tabla158[[#This Row],[Fecha]])</f>
        <v>30</v>
      </c>
      <c r="D48" s="1" t="s">
        <v>18</v>
      </c>
      <c r="E48" s="1">
        <v>600</v>
      </c>
      <c r="F48" s="9">
        <v>12260416</v>
      </c>
      <c r="G48" s="1">
        <v>20</v>
      </c>
      <c r="H48" s="1">
        <v>4</v>
      </c>
      <c r="I48" s="3">
        <f>Tabla158[[#This Row],[Piezas NOK]]/Tabla158[[#This Row],[Piezas OK]]</f>
        <v>0.2</v>
      </c>
      <c r="J48" s="12">
        <f t="shared" si="4"/>
        <v>0.8</v>
      </c>
      <c r="K48" s="5">
        <f>Tabla158[[#This Row],[FTQ]]</f>
        <v>0.8</v>
      </c>
      <c r="M48" s="4">
        <v>46227</v>
      </c>
      <c r="N48" s="12">
        <f>WEEKNUM(Tabla2610[[#This Row],[Fecha]])</f>
        <v>30</v>
      </c>
      <c r="O48" s="1" t="s">
        <v>18</v>
      </c>
      <c r="P48" s="1">
        <v>400</v>
      </c>
      <c r="Q48" s="9">
        <v>12260416</v>
      </c>
      <c r="R48" s="1" t="s">
        <v>42</v>
      </c>
      <c r="S48" s="1">
        <v>4</v>
      </c>
    </row>
    <row r="49" spans="2:19" x14ac:dyDescent="0.3">
      <c r="B49" s="4">
        <v>46227</v>
      </c>
      <c r="C49" s="12">
        <f>WEEKNUM(Tabla158[[#This Row],[Fecha]])</f>
        <v>30</v>
      </c>
      <c r="D49" s="1" t="s">
        <v>18</v>
      </c>
      <c r="E49" s="1">
        <v>700</v>
      </c>
      <c r="F49" s="9">
        <v>12260416</v>
      </c>
      <c r="G49" s="1">
        <v>13</v>
      </c>
      <c r="H49" s="1">
        <v>9</v>
      </c>
      <c r="I49" s="3">
        <f>Tabla158[[#This Row],[Piezas NOK]]/Tabla158[[#This Row],[Piezas OK]]</f>
        <v>0.69230769230769229</v>
      </c>
      <c r="J49" s="12">
        <f t="shared" si="4"/>
        <v>0.30769230769230771</v>
      </c>
      <c r="K49" s="5">
        <f>Tabla158[[#This Row],[FTQ]]</f>
        <v>0.30769230769230771</v>
      </c>
      <c r="M49" s="4">
        <v>46227</v>
      </c>
      <c r="N49" s="12">
        <f>WEEKNUM(Tabla2610[[#This Row],[Fecha]])</f>
        <v>30</v>
      </c>
      <c r="O49" s="1" t="s">
        <v>18</v>
      </c>
      <c r="P49" s="1">
        <v>400</v>
      </c>
      <c r="Q49" s="9">
        <v>12260416</v>
      </c>
      <c r="R49" s="1" t="s">
        <v>28</v>
      </c>
      <c r="S49" s="1">
        <v>4</v>
      </c>
    </row>
    <row r="50" spans="2:19" x14ac:dyDescent="0.3">
      <c r="B50" s="4">
        <v>46227</v>
      </c>
      <c r="C50" s="12">
        <f>WEEKNUM(Tabla158[[#This Row],[Fecha]])</f>
        <v>30</v>
      </c>
      <c r="D50" s="1" t="s">
        <v>18</v>
      </c>
      <c r="E50" s="1">
        <v>800</v>
      </c>
      <c r="F50" s="9">
        <v>12260416</v>
      </c>
      <c r="G50" s="1">
        <v>38</v>
      </c>
      <c r="H50" s="1">
        <v>2</v>
      </c>
      <c r="I50" s="3">
        <f>Tabla158[[#This Row],[Piezas NOK]]/Tabla158[[#This Row],[Piezas OK]]</f>
        <v>5.2631578947368418E-2</v>
      </c>
      <c r="J50" s="12">
        <f t="shared" si="4"/>
        <v>0.94736842105263164</v>
      </c>
      <c r="K50" s="5">
        <f>Tabla158[[#This Row],[FTQ]]</f>
        <v>0.94736842105263164</v>
      </c>
      <c r="M50" s="4">
        <v>46227</v>
      </c>
      <c r="N50" s="12">
        <f>WEEKNUM(Tabla2610[[#This Row],[Fecha]])</f>
        <v>30</v>
      </c>
      <c r="O50" s="1" t="s">
        <v>18</v>
      </c>
      <c r="P50" s="1">
        <v>400</v>
      </c>
      <c r="Q50" s="9">
        <v>12260416</v>
      </c>
      <c r="R50" s="1" t="s">
        <v>40</v>
      </c>
      <c r="S50" s="1">
        <v>1</v>
      </c>
    </row>
    <row r="51" spans="2:19" x14ac:dyDescent="0.3">
      <c r="B51" s="4">
        <v>46227</v>
      </c>
      <c r="C51" s="12">
        <f>WEEKNUM(Tabla158[[#This Row],[Fecha]])</f>
        <v>30</v>
      </c>
      <c r="D51" s="1" t="s">
        <v>18</v>
      </c>
      <c r="E51" s="1">
        <v>900</v>
      </c>
      <c r="F51" s="9">
        <v>12260416</v>
      </c>
      <c r="G51" s="1">
        <v>38</v>
      </c>
      <c r="H51" s="1">
        <v>0</v>
      </c>
      <c r="I51" s="3">
        <f>Tabla158[[#This Row],[Piezas NOK]]/Tabla158[[#This Row],[Piezas OK]]</f>
        <v>0</v>
      </c>
      <c r="J51" s="12">
        <f t="shared" si="4"/>
        <v>1</v>
      </c>
      <c r="K51" s="5">
        <f>Tabla158[[#This Row],[FTQ]]</f>
        <v>1</v>
      </c>
      <c r="M51" s="4">
        <v>46227</v>
      </c>
      <c r="N51" s="12">
        <f>WEEKNUM(Tabla2610[[#This Row],[Fecha]])</f>
        <v>30</v>
      </c>
      <c r="O51" s="1" t="s">
        <v>18</v>
      </c>
      <c r="P51" s="1">
        <v>400</v>
      </c>
      <c r="Q51" s="9">
        <v>12260416</v>
      </c>
      <c r="R51" s="1" t="s">
        <v>31</v>
      </c>
      <c r="S51" s="1">
        <v>1</v>
      </c>
    </row>
    <row r="52" spans="2:19" x14ac:dyDescent="0.3">
      <c r="B52" s="4">
        <v>46227</v>
      </c>
      <c r="C52" s="12">
        <f>WEEKNUM(Tabla158[[#This Row],[Fecha]])</f>
        <v>30</v>
      </c>
      <c r="D52" s="1" t="s">
        <v>18</v>
      </c>
      <c r="E52" s="1" t="s">
        <v>15</v>
      </c>
      <c r="F52" s="9">
        <v>12260416</v>
      </c>
      <c r="G52" s="1">
        <v>32</v>
      </c>
      <c r="H52" s="1">
        <v>6</v>
      </c>
      <c r="I52" s="3">
        <f>Tabla158[[#This Row],[Piezas NOK]]/Tabla158[[#This Row],[Piezas OK]]</f>
        <v>0.1875</v>
      </c>
      <c r="J52" s="12">
        <f t="shared" si="4"/>
        <v>0.8125</v>
      </c>
      <c r="K52" s="5">
        <f>Tabla158[[#This Row],[FTQ]]</f>
        <v>0.8125</v>
      </c>
      <c r="M52" s="4">
        <v>46227</v>
      </c>
      <c r="N52" s="12">
        <f>WEEKNUM(Tabla2610[[#This Row],[Fecha]])</f>
        <v>30</v>
      </c>
      <c r="O52" s="1" t="s">
        <v>18</v>
      </c>
      <c r="P52" s="1">
        <v>400</v>
      </c>
      <c r="Q52" s="9">
        <v>12260416</v>
      </c>
      <c r="R52" s="1" t="s">
        <v>43</v>
      </c>
      <c r="S52" s="1">
        <v>7</v>
      </c>
    </row>
    <row r="53" spans="2:19" x14ac:dyDescent="0.3">
      <c r="B53" s="4">
        <v>46227</v>
      </c>
      <c r="C53" s="12">
        <f>WEEKNUM(Tabla158[[#This Row],[Fecha]])</f>
        <v>30</v>
      </c>
      <c r="D53" s="1" t="s">
        <v>18</v>
      </c>
      <c r="E53" s="1" t="s">
        <v>17</v>
      </c>
      <c r="F53" s="9">
        <v>12260416</v>
      </c>
      <c r="G53" s="1">
        <v>20</v>
      </c>
      <c r="H53" s="1">
        <v>0</v>
      </c>
      <c r="I53" s="3">
        <f>Tabla158[[#This Row],[Piezas NOK]]/Tabla158[[#This Row],[Piezas OK]]</f>
        <v>0</v>
      </c>
      <c r="J53" s="12">
        <f>ABS(G$3-I53)</f>
        <v>1</v>
      </c>
      <c r="K53" s="5">
        <f>Tabla158[[#This Row],[FTQ]]</f>
        <v>1</v>
      </c>
      <c r="M53" s="4">
        <v>46227</v>
      </c>
      <c r="N53" s="12">
        <f>WEEKNUM(Tabla2610[[#This Row],[Fecha]])</f>
        <v>30</v>
      </c>
      <c r="O53" s="1" t="s">
        <v>18</v>
      </c>
      <c r="P53" s="1">
        <v>800</v>
      </c>
      <c r="Q53" s="9">
        <v>12260416</v>
      </c>
      <c r="R53" s="1" t="s">
        <v>21</v>
      </c>
      <c r="S53" s="1">
        <v>2</v>
      </c>
    </row>
    <row r="54" spans="2:19" x14ac:dyDescent="0.3">
      <c r="B54" s="4">
        <v>46227</v>
      </c>
      <c r="C54" s="12">
        <f>WEEKNUM(Tabla158[[#This Row],[Fecha]])</f>
        <v>30</v>
      </c>
      <c r="D54" s="1" t="s">
        <v>18</v>
      </c>
      <c r="E54" s="1">
        <v>100</v>
      </c>
      <c r="F54" s="9">
        <v>12260415</v>
      </c>
      <c r="G54" s="1">
        <v>20</v>
      </c>
      <c r="H54" s="1">
        <v>0</v>
      </c>
      <c r="I54" s="3">
        <f>Tabla158[[#This Row],[Piezas NOK]]/Tabla158[[#This Row],[Piezas OK]]</f>
        <v>0</v>
      </c>
      <c r="J54" s="12">
        <f t="shared" ref="J54:J61" si="5">ABS(G$3-I54)</f>
        <v>1</v>
      </c>
      <c r="K54" s="5">
        <f>Tabla158[[#This Row],[FTQ]]</f>
        <v>1</v>
      </c>
      <c r="M54" s="4">
        <v>46227</v>
      </c>
      <c r="N54" s="12">
        <f>WEEKNUM(Tabla2610[[#This Row],[Fecha]])</f>
        <v>30</v>
      </c>
      <c r="O54" s="1" t="s">
        <v>18</v>
      </c>
      <c r="P54" s="1" t="s">
        <v>15</v>
      </c>
      <c r="Q54" s="9">
        <v>12260416</v>
      </c>
      <c r="R54" s="1" t="s">
        <v>45</v>
      </c>
      <c r="S54" s="1">
        <v>1</v>
      </c>
    </row>
    <row r="55" spans="2:19" x14ac:dyDescent="0.3">
      <c r="B55" s="4">
        <v>46227</v>
      </c>
      <c r="C55" s="12">
        <f>WEEKNUM(Tabla158[[#This Row],[Fecha]])</f>
        <v>30</v>
      </c>
      <c r="D55" s="1" t="s">
        <v>18</v>
      </c>
      <c r="E55" s="1">
        <v>200</v>
      </c>
      <c r="F55" s="9">
        <v>12260415</v>
      </c>
      <c r="G55" s="1">
        <v>20</v>
      </c>
      <c r="H55" s="1">
        <v>0</v>
      </c>
      <c r="I55" s="3">
        <f>Tabla158[[#This Row],[Piezas NOK]]/Tabla158[[#This Row],[Piezas OK]]</f>
        <v>0</v>
      </c>
      <c r="J55" s="12">
        <f t="shared" si="5"/>
        <v>1</v>
      </c>
      <c r="K55" s="5">
        <f>Tabla158[[#This Row],[FTQ]]</f>
        <v>1</v>
      </c>
      <c r="M55" s="4">
        <v>46227</v>
      </c>
      <c r="N55" s="12">
        <f>WEEKNUM(Tabla2610[[#This Row],[Fecha]])</f>
        <v>30</v>
      </c>
      <c r="O55" s="1" t="s">
        <v>18</v>
      </c>
      <c r="P55" s="1" t="s">
        <v>15</v>
      </c>
      <c r="Q55" s="9">
        <v>12260416</v>
      </c>
      <c r="R55" s="1" t="s">
        <v>46</v>
      </c>
      <c r="S55" s="1">
        <v>1</v>
      </c>
    </row>
    <row r="56" spans="2:19" x14ac:dyDescent="0.3">
      <c r="B56" s="4">
        <v>46227</v>
      </c>
      <c r="C56" s="12">
        <f>WEEKNUM(Tabla158[[#This Row],[Fecha]])</f>
        <v>30</v>
      </c>
      <c r="D56" s="1" t="s">
        <v>18</v>
      </c>
      <c r="E56" s="1">
        <v>300</v>
      </c>
      <c r="F56" s="9">
        <v>12260415</v>
      </c>
      <c r="G56" s="1">
        <v>20</v>
      </c>
      <c r="H56" s="1">
        <v>0</v>
      </c>
      <c r="I56" s="3">
        <f>Tabla158[[#This Row],[Piezas NOK]]/Tabla158[[#This Row],[Piezas OK]]</f>
        <v>0</v>
      </c>
      <c r="J56" s="12">
        <f t="shared" si="5"/>
        <v>1</v>
      </c>
      <c r="K56" s="5">
        <f>Tabla158[[#This Row],[FTQ]]</f>
        <v>1</v>
      </c>
      <c r="M56" s="4">
        <v>46227</v>
      </c>
      <c r="N56" s="12">
        <f>WEEKNUM(Tabla2610[[#This Row],[Fecha]])</f>
        <v>30</v>
      </c>
      <c r="O56" s="1" t="s">
        <v>18</v>
      </c>
      <c r="P56" s="1" t="s">
        <v>15</v>
      </c>
      <c r="Q56" s="9">
        <v>12260416</v>
      </c>
      <c r="R56" s="1" t="s">
        <v>47</v>
      </c>
      <c r="S56" s="1">
        <v>1</v>
      </c>
    </row>
    <row r="57" spans="2:19" x14ac:dyDescent="0.3">
      <c r="B57" s="4">
        <v>46227</v>
      </c>
      <c r="C57" s="12">
        <f>WEEKNUM(Tabla158[[#This Row],[Fecha]])</f>
        <v>30</v>
      </c>
      <c r="D57" s="1" t="s">
        <v>18</v>
      </c>
      <c r="E57" s="1">
        <v>400</v>
      </c>
      <c r="F57" s="9">
        <v>12260415</v>
      </c>
      <c r="G57" s="1">
        <v>19</v>
      </c>
      <c r="H57" s="1">
        <v>0</v>
      </c>
      <c r="I57" s="3">
        <f>Tabla158[[#This Row],[Piezas NOK]]/Tabla158[[#This Row],[Piezas OK]]</f>
        <v>0</v>
      </c>
      <c r="J57" s="12">
        <f t="shared" si="5"/>
        <v>1</v>
      </c>
      <c r="K57" s="5">
        <f>Tabla158[[#This Row],[FTQ]]</f>
        <v>1</v>
      </c>
      <c r="M57" s="4">
        <v>46227</v>
      </c>
      <c r="N57" s="12">
        <f>WEEKNUM(Tabla2610[[#This Row],[Fecha]])</f>
        <v>30</v>
      </c>
      <c r="O57" s="1" t="s">
        <v>18</v>
      </c>
      <c r="P57" s="1" t="s">
        <v>15</v>
      </c>
      <c r="Q57" s="9">
        <v>12260416</v>
      </c>
      <c r="R57" s="1" t="s">
        <v>48</v>
      </c>
      <c r="S57" s="1">
        <v>3</v>
      </c>
    </row>
    <row r="58" spans="2:19" x14ac:dyDescent="0.3">
      <c r="B58" s="4">
        <v>46227</v>
      </c>
      <c r="C58" s="12">
        <f>WEEKNUM(Tabla158[[#This Row],[Fecha]])</f>
        <v>30</v>
      </c>
      <c r="D58" s="1" t="s">
        <v>18</v>
      </c>
      <c r="E58" s="1">
        <v>600</v>
      </c>
      <c r="F58" s="9">
        <v>12260415</v>
      </c>
      <c r="G58" s="1">
        <v>19</v>
      </c>
      <c r="H58" s="1">
        <v>3</v>
      </c>
      <c r="I58" s="3">
        <f>Tabla158[[#This Row],[Piezas NOK]]/Tabla158[[#This Row],[Piezas OK]]</f>
        <v>0.15789473684210525</v>
      </c>
      <c r="J58" s="12">
        <f t="shared" si="5"/>
        <v>0.84210526315789469</v>
      </c>
      <c r="K58" s="5">
        <f>Tabla158[[#This Row],[FTQ]]</f>
        <v>0.84210526315789469</v>
      </c>
      <c r="M58" s="4">
        <v>46220</v>
      </c>
      <c r="N58" s="12">
        <f>WEEKNUM(Tabla2610[[#This Row],[Fecha]])</f>
        <v>29</v>
      </c>
      <c r="O58" s="1" t="s">
        <v>18</v>
      </c>
      <c r="P58" s="1" t="s">
        <v>17</v>
      </c>
      <c r="Q58" s="9">
        <v>12264714</v>
      </c>
      <c r="R58" s="1" t="s">
        <v>49</v>
      </c>
      <c r="S58" s="1">
        <v>1</v>
      </c>
    </row>
    <row r="59" spans="2:19" x14ac:dyDescent="0.3">
      <c r="B59" s="4">
        <v>46227</v>
      </c>
      <c r="C59" s="12">
        <f>WEEKNUM(Tabla158[[#This Row],[Fecha]])</f>
        <v>30</v>
      </c>
      <c r="D59" s="1" t="s">
        <v>18</v>
      </c>
      <c r="E59" s="1">
        <v>700</v>
      </c>
      <c r="F59" s="9">
        <v>12260415</v>
      </c>
      <c r="G59" s="1">
        <v>18</v>
      </c>
      <c r="H59" s="1">
        <v>1</v>
      </c>
      <c r="I59" s="3">
        <f>Tabla158[[#This Row],[Piezas NOK]]/Tabla158[[#This Row],[Piezas OK]]</f>
        <v>5.5555555555555552E-2</v>
      </c>
      <c r="J59" s="12">
        <f t="shared" si="5"/>
        <v>0.94444444444444442</v>
      </c>
      <c r="K59" s="5">
        <f>Tabla158[[#This Row],[FTQ]]</f>
        <v>0.94444444444444442</v>
      </c>
      <c r="M59" s="4">
        <v>46227</v>
      </c>
      <c r="N59" s="12">
        <f>WEEKNUM(Tabla2610[[#This Row],[Fecha]])</f>
        <v>30</v>
      </c>
      <c r="O59" s="1" t="s">
        <v>18</v>
      </c>
      <c r="P59" s="1">
        <v>600</v>
      </c>
      <c r="Q59" s="9">
        <v>12260415</v>
      </c>
      <c r="R59" s="1" t="s">
        <v>28</v>
      </c>
      <c r="S59" s="1">
        <v>3</v>
      </c>
    </row>
    <row r="60" spans="2:19" x14ac:dyDescent="0.3">
      <c r="B60" s="4">
        <v>46227</v>
      </c>
      <c r="C60" s="12">
        <f>WEEKNUM(Tabla158[[#This Row],[Fecha]])</f>
        <v>30</v>
      </c>
      <c r="D60" s="1" t="s">
        <v>18</v>
      </c>
      <c r="E60" s="1">
        <v>800</v>
      </c>
      <c r="F60" s="9">
        <v>12260415</v>
      </c>
      <c r="G60" s="1">
        <v>18</v>
      </c>
      <c r="H60" s="1">
        <v>4</v>
      </c>
      <c r="I60" s="3">
        <f>Tabla158[[#This Row],[Piezas NOK]]/Tabla158[[#This Row],[Piezas OK]]</f>
        <v>0.22222222222222221</v>
      </c>
      <c r="J60" s="12">
        <f t="shared" si="5"/>
        <v>0.77777777777777779</v>
      </c>
      <c r="K60" s="5">
        <f>Tabla158[[#This Row],[FTQ]]</f>
        <v>0.77777777777777779</v>
      </c>
      <c r="M60" s="4">
        <v>46227</v>
      </c>
      <c r="N60" s="12">
        <f>WEEKNUM(Tabla2610[[#This Row],[Fecha]])</f>
        <v>30</v>
      </c>
      <c r="O60" s="1" t="s">
        <v>18</v>
      </c>
      <c r="P60" s="1">
        <v>700</v>
      </c>
      <c r="Q60" s="9">
        <v>12260415</v>
      </c>
      <c r="R60" s="1" t="s">
        <v>50</v>
      </c>
      <c r="S60" s="1">
        <v>1</v>
      </c>
    </row>
    <row r="61" spans="2:19" x14ac:dyDescent="0.3">
      <c r="B61" s="4">
        <v>46227</v>
      </c>
      <c r="C61" s="12">
        <f>WEEKNUM(Tabla158[[#This Row],[Fecha]])</f>
        <v>30</v>
      </c>
      <c r="D61" s="1" t="s">
        <v>18</v>
      </c>
      <c r="E61" s="1">
        <v>900</v>
      </c>
      <c r="F61" s="9">
        <v>12260415</v>
      </c>
      <c r="G61" s="1">
        <v>18</v>
      </c>
      <c r="H61" s="1">
        <v>0</v>
      </c>
      <c r="I61" s="3">
        <f>Tabla158[[#This Row],[Piezas NOK]]/Tabla158[[#This Row],[Piezas OK]]</f>
        <v>0</v>
      </c>
      <c r="J61" s="12">
        <f t="shared" si="5"/>
        <v>1</v>
      </c>
      <c r="K61" s="5">
        <f>Tabla158[[#This Row],[FTQ]]</f>
        <v>1</v>
      </c>
      <c r="M61" s="4">
        <v>46227</v>
      </c>
      <c r="N61" s="12">
        <f>WEEKNUM(Tabla2610[[#This Row],[Fecha]])</f>
        <v>30</v>
      </c>
      <c r="O61" s="1" t="s">
        <v>18</v>
      </c>
      <c r="P61" s="1">
        <v>800</v>
      </c>
      <c r="Q61" s="9">
        <v>12260416</v>
      </c>
      <c r="R61" s="1" t="s">
        <v>21</v>
      </c>
      <c r="S61" s="1">
        <v>4</v>
      </c>
    </row>
    <row r="62" spans="2:19" x14ac:dyDescent="0.3">
      <c r="B62" s="4">
        <v>46227</v>
      </c>
      <c r="C62" s="12">
        <f>WEEKNUM(Tabla158[[#This Row],[Fecha]])</f>
        <v>30</v>
      </c>
      <c r="D62" s="1" t="s">
        <v>18</v>
      </c>
      <c r="E62" s="1" t="s">
        <v>15</v>
      </c>
      <c r="F62" s="9">
        <v>12260415</v>
      </c>
      <c r="G62" s="1">
        <v>40</v>
      </c>
      <c r="H62" s="1">
        <v>0</v>
      </c>
      <c r="I62" s="3">
        <f>Tabla158[[#This Row],[Piezas NOK]]/Tabla158[[#This Row],[Piezas OK]]</f>
        <v>0</v>
      </c>
      <c r="J62" s="12">
        <f t="shared" ref="J62" si="6">ABS(G$3-I62)</f>
        <v>1</v>
      </c>
      <c r="K62" s="5">
        <f>Tabla158[[#This Row],[FTQ]]</f>
        <v>1</v>
      </c>
      <c r="M62" s="4"/>
    </row>
    <row r="63" spans="2:19" x14ac:dyDescent="0.3">
      <c r="B63" s="4"/>
      <c r="I63" s="3"/>
      <c r="J63" s="1"/>
      <c r="K63" s="5"/>
      <c r="M63" s="4"/>
    </row>
    <row r="64" spans="2:19" x14ac:dyDescent="0.3">
      <c r="B64" s="4"/>
      <c r="I64" s="3"/>
      <c r="J64" s="1"/>
      <c r="K64" s="5"/>
      <c r="M64" s="4"/>
    </row>
    <row r="65" spans="2:13" x14ac:dyDescent="0.3">
      <c r="B65" s="4"/>
      <c r="I65" s="3"/>
      <c r="J65" s="1"/>
      <c r="K65" s="5"/>
      <c r="M65" s="4"/>
    </row>
    <row r="66" spans="2:13" x14ac:dyDescent="0.3">
      <c r="B66" s="4"/>
      <c r="I66" s="3"/>
      <c r="J66" s="1"/>
      <c r="K66" s="5"/>
      <c r="M66" s="4"/>
    </row>
    <row r="67" spans="2:13" x14ac:dyDescent="0.3">
      <c r="B67" s="4"/>
      <c r="I67" s="3"/>
      <c r="J67" s="1"/>
      <c r="K67" s="5"/>
      <c r="M67" s="4"/>
    </row>
    <row r="68" spans="2:13" x14ac:dyDescent="0.3">
      <c r="B68" s="4"/>
      <c r="I68" s="3"/>
      <c r="J68" s="1"/>
      <c r="K68" s="5"/>
      <c r="M68" s="4"/>
    </row>
    <row r="69" spans="2:13" x14ac:dyDescent="0.3">
      <c r="B69" s="4"/>
      <c r="I69" s="3"/>
      <c r="J69" s="1"/>
      <c r="K69" s="5"/>
      <c r="M69" s="4"/>
    </row>
    <row r="70" spans="2:13" x14ac:dyDescent="0.3">
      <c r="B70" s="4"/>
      <c r="I70" s="3"/>
      <c r="J70" s="1"/>
      <c r="K70" s="5"/>
      <c r="M70" s="4"/>
    </row>
    <row r="71" spans="2:13" x14ac:dyDescent="0.3">
      <c r="B71" s="4"/>
      <c r="I71" s="3"/>
      <c r="J71" s="1"/>
      <c r="K71" s="5"/>
      <c r="M71" s="4"/>
    </row>
    <row r="72" spans="2:13" x14ac:dyDescent="0.3">
      <c r="B72" s="4"/>
      <c r="I72" s="3"/>
      <c r="J72" s="1"/>
      <c r="K72" s="5"/>
      <c r="M72" s="4"/>
    </row>
    <row r="73" spans="2:13" x14ac:dyDescent="0.3">
      <c r="B73" s="4"/>
      <c r="I73" s="3"/>
      <c r="J73" s="1"/>
      <c r="K73" s="5"/>
      <c r="M73" s="4"/>
    </row>
    <row r="74" spans="2:13" x14ac:dyDescent="0.3">
      <c r="B74" s="4"/>
      <c r="I74" s="3"/>
      <c r="J74" s="1"/>
      <c r="K74" s="5"/>
      <c r="M74" s="4"/>
    </row>
    <row r="75" spans="2:13" x14ac:dyDescent="0.3">
      <c r="B75" s="4"/>
      <c r="I75" s="3"/>
      <c r="J75" s="1"/>
      <c r="K75" s="5"/>
      <c r="M75" s="4"/>
    </row>
    <row r="76" spans="2:13" x14ac:dyDescent="0.3">
      <c r="B76" s="4"/>
      <c r="I76" s="3"/>
      <c r="J76" s="1"/>
      <c r="K76" s="5"/>
      <c r="M76" s="4"/>
    </row>
    <row r="77" spans="2:13" x14ac:dyDescent="0.3">
      <c r="B77" s="4"/>
      <c r="I77" s="3"/>
      <c r="J77" s="1"/>
      <c r="K77" s="5"/>
      <c r="M77" s="4"/>
    </row>
    <row r="78" spans="2:13" x14ac:dyDescent="0.3">
      <c r="B78" s="4"/>
      <c r="I78" s="3"/>
      <c r="J78" s="1"/>
      <c r="K78" s="5"/>
      <c r="M78" s="4"/>
    </row>
    <row r="79" spans="2:13" x14ac:dyDescent="0.3">
      <c r="B79" s="4"/>
      <c r="I79" s="3"/>
      <c r="J79" s="1"/>
      <c r="K79" s="5"/>
      <c r="M79" s="4"/>
    </row>
    <row r="80" spans="2:13" x14ac:dyDescent="0.3">
      <c r="B80" s="4"/>
      <c r="I80" s="3"/>
      <c r="J80" s="1"/>
      <c r="K80" s="5"/>
      <c r="M80" s="4"/>
    </row>
    <row r="81" spans="2:13" x14ac:dyDescent="0.3">
      <c r="B81" s="4"/>
      <c r="I81" s="3"/>
      <c r="J81" s="1"/>
      <c r="K81" s="5"/>
      <c r="M81" s="4"/>
    </row>
    <row r="82" spans="2:13" x14ac:dyDescent="0.3">
      <c r="B82" s="4"/>
      <c r="I82" s="3"/>
      <c r="J82" s="1"/>
      <c r="K82" s="5"/>
      <c r="M82" s="4"/>
    </row>
    <row r="83" spans="2:13" x14ac:dyDescent="0.3">
      <c r="B83" s="4"/>
      <c r="I83" s="3"/>
      <c r="J83" s="1"/>
      <c r="K83" s="5"/>
      <c r="M83" s="4"/>
    </row>
    <row r="84" spans="2:13" x14ac:dyDescent="0.3">
      <c r="B84" s="4"/>
      <c r="I84" s="3"/>
      <c r="J84" s="1"/>
      <c r="K84" s="5"/>
      <c r="M84" s="4"/>
    </row>
    <row r="85" spans="2:13" x14ac:dyDescent="0.3">
      <c r="B85" s="4"/>
      <c r="I85" s="3"/>
      <c r="J85" s="1"/>
      <c r="K85" s="5"/>
      <c r="M85" s="4"/>
    </row>
    <row r="86" spans="2:13" x14ac:dyDescent="0.3">
      <c r="B86" s="4"/>
      <c r="I86" s="3"/>
      <c r="J86" s="1"/>
      <c r="K86" s="5"/>
      <c r="M86" s="4"/>
    </row>
    <row r="87" spans="2:13" x14ac:dyDescent="0.3">
      <c r="B87" s="4"/>
      <c r="I87" s="3"/>
      <c r="J87" s="1"/>
      <c r="K87" s="5"/>
      <c r="M87" s="4"/>
    </row>
    <row r="88" spans="2:13" x14ac:dyDescent="0.3">
      <c r="B88" s="4"/>
      <c r="I88" s="3"/>
      <c r="J88" s="1"/>
      <c r="K88" s="5"/>
      <c r="M88" s="4"/>
    </row>
    <row r="89" spans="2:13" x14ac:dyDescent="0.3">
      <c r="B89" s="4"/>
      <c r="I89" s="3"/>
      <c r="J89" s="1"/>
      <c r="K89" s="5"/>
      <c r="M89" s="4"/>
    </row>
    <row r="90" spans="2:13" x14ac:dyDescent="0.3">
      <c r="B90" s="4"/>
      <c r="I90" s="3"/>
      <c r="J90" s="1"/>
      <c r="K90" s="5"/>
      <c r="M90" s="4"/>
    </row>
    <row r="91" spans="2:13" x14ac:dyDescent="0.3">
      <c r="B91" s="4"/>
      <c r="I91" s="3"/>
      <c r="J91" s="1"/>
      <c r="K91" s="5"/>
      <c r="M91" s="4"/>
    </row>
    <row r="92" spans="2:13" x14ac:dyDescent="0.3">
      <c r="B92" s="4"/>
      <c r="I92" s="3"/>
      <c r="J92" s="1"/>
      <c r="K92" s="5"/>
      <c r="M92" s="4"/>
    </row>
    <row r="93" spans="2:13" x14ac:dyDescent="0.3">
      <c r="B93" s="4"/>
      <c r="I93" s="3"/>
      <c r="J93" s="1"/>
      <c r="K93" s="5"/>
      <c r="M93" s="4"/>
    </row>
    <row r="94" spans="2:13" x14ac:dyDescent="0.3">
      <c r="B94" s="4"/>
      <c r="I94" s="3"/>
      <c r="J94" s="1"/>
      <c r="K94" s="5"/>
      <c r="M94" s="4"/>
    </row>
    <row r="95" spans="2:13" x14ac:dyDescent="0.3">
      <c r="B95" s="4"/>
      <c r="I95" s="3"/>
      <c r="J95" s="1"/>
      <c r="K95" s="5"/>
      <c r="M95" s="4"/>
    </row>
    <row r="96" spans="2:13" x14ac:dyDescent="0.3">
      <c r="B96" s="4"/>
      <c r="I96" s="3"/>
      <c r="J96" s="1"/>
      <c r="K96" s="5"/>
      <c r="M96" s="4"/>
    </row>
    <row r="97" spans="2:13" x14ac:dyDescent="0.3">
      <c r="B97" s="4"/>
      <c r="I97" s="3"/>
      <c r="J97" s="1"/>
      <c r="K97" s="5"/>
      <c r="M97" s="4"/>
    </row>
    <row r="98" spans="2:13" x14ac:dyDescent="0.3">
      <c r="B98" s="4"/>
      <c r="I98" s="3"/>
      <c r="J98" s="1"/>
      <c r="K98" s="5"/>
      <c r="M98" s="4"/>
    </row>
    <row r="99" spans="2:13" x14ac:dyDescent="0.3">
      <c r="B99" s="4"/>
      <c r="I99" s="3"/>
      <c r="J99" s="1"/>
      <c r="K99" s="5"/>
      <c r="M99" s="4"/>
    </row>
    <row r="100" spans="2:13" x14ac:dyDescent="0.3">
      <c r="B100" s="4"/>
      <c r="I100" s="3"/>
      <c r="J100" s="1"/>
      <c r="K100" s="5"/>
      <c r="M100" s="4"/>
    </row>
    <row r="101" spans="2:13" x14ac:dyDescent="0.3">
      <c r="B101" s="4"/>
      <c r="I101" s="3"/>
      <c r="J101" s="1"/>
      <c r="K101" s="5"/>
      <c r="M101" s="4"/>
    </row>
    <row r="102" spans="2:13" x14ac:dyDescent="0.3">
      <c r="B102" s="4"/>
      <c r="I102" s="3"/>
      <c r="J102" s="1"/>
      <c r="K102" s="5"/>
      <c r="M102" s="4"/>
    </row>
    <row r="103" spans="2:13" x14ac:dyDescent="0.3">
      <c r="B103" s="4"/>
      <c r="I103" s="3"/>
      <c r="J103" s="1"/>
      <c r="K103" s="5"/>
      <c r="M103" s="4"/>
    </row>
    <row r="104" spans="2:13" x14ac:dyDescent="0.3">
      <c r="B104" s="4"/>
      <c r="I104" s="3"/>
      <c r="J104" s="1"/>
      <c r="K104" s="5"/>
      <c r="M104" s="4"/>
    </row>
    <row r="105" spans="2:13" x14ac:dyDescent="0.3">
      <c r="B105" s="4"/>
      <c r="I105" s="3"/>
      <c r="J105" s="1"/>
      <c r="K105" s="5"/>
      <c r="M105" s="4"/>
    </row>
    <row r="106" spans="2:13" x14ac:dyDescent="0.3">
      <c r="B106" s="4"/>
      <c r="I106" s="3"/>
      <c r="J106" s="1"/>
      <c r="K106" s="5"/>
      <c r="M106" s="4"/>
    </row>
    <row r="107" spans="2:13" x14ac:dyDescent="0.3">
      <c r="B107" s="4"/>
      <c r="I107" s="3"/>
      <c r="J107" s="1"/>
      <c r="K107" s="5"/>
      <c r="M107" s="4"/>
    </row>
    <row r="108" spans="2:13" x14ac:dyDescent="0.3">
      <c r="B108" s="4"/>
      <c r="I108" s="3"/>
      <c r="J108" s="1"/>
      <c r="K108" s="5"/>
      <c r="M108" s="4"/>
    </row>
    <row r="109" spans="2:13" x14ac:dyDescent="0.3">
      <c r="B109" s="4"/>
      <c r="I109" s="3"/>
      <c r="J109" s="1"/>
      <c r="K109" s="5"/>
      <c r="M109" s="4"/>
    </row>
    <row r="110" spans="2:13" x14ac:dyDescent="0.3">
      <c r="B110" s="4"/>
      <c r="I110" s="3"/>
      <c r="J110" s="1"/>
      <c r="K110" s="5"/>
      <c r="M110" s="4"/>
    </row>
    <row r="111" spans="2:13" x14ac:dyDescent="0.3">
      <c r="B111" s="4"/>
      <c r="I111" s="3"/>
      <c r="J111" s="1"/>
      <c r="K111" s="5"/>
      <c r="M111" s="4"/>
    </row>
    <row r="112" spans="2:13" x14ac:dyDescent="0.3">
      <c r="B112" s="4"/>
      <c r="I112" s="3"/>
      <c r="J112" s="1"/>
      <c r="K112" s="5"/>
      <c r="M112" s="4"/>
    </row>
    <row r="113" spans="2:13" x14ac:dyDescent="0.3">
      <c r="B113" s="4"/>
      <c r="I113" s="3"/>
      <c r="J113" s="1"/>
      <c r="K113" s="5"/>
      <c r="M113" s="4"/>
    </row>
    <row r="114" spans="2:13" x14ac:dyDescent="0.3">
      <c r="B114" s="4"/>
      <c r="I114" s="3"/>
      <c r="J114" s="1"/>
      <c r="K114" s="5"/>
      <c r="M114" s="4"/>
    </row>
    <row r="115" spans="2:13" x14ac:dyDescent="0.3">
      <c r="B115" s="4"/>
      <c r="I115" s="3"/>
      <c r="J115" s="1"/>
      <c r="K115" s="5"/>
      <c r="M115" s="4"/>
    </row>
    <row r="116" spans="2:13" x14ac:dyDescent="0.3">
      <c r="B116" s="4"/>
      <c r="I116" s="3"/>
      <c r="J116" s="1"/>
      <c r="K116" s="5"/>
      <c r="M116" s="4"/>
    </row>
    <row r="117" spans="2:13" x14ac:dyDescent="0.3">
      <c r="B117" s="4"/>
      <c r="I117" s="3"/>
      <c r="J117" s="1"/>
      <c r="K117" s="5"/>
      <c r="M117" s="4"/>
    </row>
    <row r="118" spans="2:13" x14ac:dyDescent="0.3">
      <c r="B118" s="4"/>
      <c r="I118" s="3"/>
      <c r="J118" s="1"/>
      <c r="K118" s="5"/>
      <c r="M118" s="4"/>
    </row>
    <row r="119" spans="2:13" x14ac:dyDescent="0.3">
      <c r="B119" s="4"/>
      <c r="I119" s="3"/>
      <c r="J119" s="1"/>
      <c r="K119" s="5"/>
      <c r="M119" s="4"/>
    </row>
    <row r="120" spans="2:13" x14ac:dyDescent="0.3">
      <c r="B120" s="4"/>
      <c r="I120" s="3"/>
      <c r="J120" s="1"/>
      <c r="K120" s="5"/>
      <c r="M120" s="4"/>
    </row>
    <row r="121" spans="2:13" x14ac:dyDescent="0.3">
      <c r="B121" s="4"/>
      <c r="I121" s="3"/>
      <c r="J121" s="1"/>
      <c r="K121" s="5"/>
      <c r="M121" s="4"/>
    </row>
    <row r="122" spans="2:13" x14ac:dyDescent="0.3">
      <c r="B122" s="4"/>
      <c r="I122" s="3"/>
      <c r="J122" s="1"/>
      <c r="K122" s="5"/>
      <c r="M122" s="4"/>
    </row>
    <row r="123" spans="2:13" x14ac:dyDescent="0.3">
      <c r="B123" s="4"/>
      <c r="I123" s="3"/>
      <c r="J123" s="1"/>
      <c r="K123" s="5"/>
      <c r="M123" s="4"/>
    </row>
    <row r="124" spans="2:13" x14ac:dyDescent="0.3">
      <c r="B124" s="4"/>
      <c r="I124" s="3"/>
      <c r="J124" s="1"/>
      <c r="K124" s="5"/>
      <c r="M124" s="4"/>
    </row>
    <row r="125" spans="2:13" x14ac:dyDescent="0.3">
      <c r="B125" s="4"/>
      <c r="I125" s="3"/>
      <c r="J125" s="1"/>
      <c r="K125" s="5"/>
      <c r="M125" s="4"/>
    </row>
    <row r="126" spans="2:13" x14ac:dyDescent="0.3">
      <c r="B126" s="4"/>
      <c r="I126" s="3"/>
      <c r="J126" s="1"/>
      <c r="K126" s="5"/>
      <c r="M126" s="4"/>
    </row>
    <row r="127" spans="2:13" x14ac:dyDescent="0.3">
      <c r="B127" s="4"/>
      <c r="I127" s="3"/>
      <c r="J127" s="1"/>
      <c r="K127" s="5"/>
      <c r="M127" s="4"/>
    </row>
    <row r="128" spans="2:13" x14ac:dyDescent="0.3">
      <c r="B128" s="4"/>
      <c r="I128" s="3"/>
      <c r="J128" s="1"/>
      <c r="K128" s="5"/>
      <c r="M128" s="4"/>
    </row>
    <row r="129" spans="2:13" x14ac:dyDescent="0.3">
      <c r="B129" s="4"/>
      <c r="I129" s="3"/>
      <c r="J129" s="1"/>
      <c r="K129" s="5"/>
      <c r="M129" s="4"/>
    </row>
    <row r="130" spans="2:13" x14ac:dyDescent="0.3">
      <c r="B130" s="4"/>
      <c r="I130" s="3"/>
      <c r="J130" s="1"/>
      <c r="K130" s="5"/>
      <c r="M130" s="4"/>
    </row>
    <row r="131" spans="2:13" x14ac:dyDescent="0.3">
      <c r="B131" s="4"/>
      <c r="I131" s="3"/>
      <c r="J131" s="1"/>
      <c r="K131" s="5"/>
      <c r="M131" s="4"/>
    </row>
    <row r="132" spans="2:13" x14ac:dyDescent="0.3">
      <c r="B132" s="4"/>
      <c r="I132" s="3"/>
      <c r="J132" s="1"/>
      <c r="K132" s="5"/>
      <c r="M132" s="4"/>
    </row>
    <row r="133" spans="2:13" x14ac:dyDescent="0.3">
      <c r="B133" s="4"/>
      <c r="I133" s="3"/>
      <c r="J133" s="1"/>
      <c r="K133" s="5"/>
      <c r="M133" s="4"/>
    </row>
    <row r="134" spans="2:13" x14ac:dyDescent="0.3">
      <c r="B134" s="4"/>
      <c r="I134" s="3"/>
      <c r="J134" s="1"/>
      <c r="K134" s="5"/>
      <c r="M134" s="4"/>
    </row>
    <row r="135" spans="2:13" x14ac:dyDescent="0.3">
      <c r="B135" s="4"/>
      <c r="I135" s="3"/>
      <c r="J135" s="1"/>
      <c r="K135" s="5"/>
      <c r="M135" s="4"/>
    </row>
    <row r="136" spans="2:13" x14ac:dyDescent="0.3">
      <c r="B136" s="4"/>
      <c r="I136" s="3"/>
      <c r="J136" s="1"/>
      <c r="K136" s="5"/>
      <c r="M136" s="4"/>
    </row>
    <row r="137" spans="2:13" x14ac:dyDescent="0.3">
      <c r="B137" s="4"/>
      <c r="I137" s="3"/>
      <c r="J137" s="1"/>
      <c r="K137" s="5"/>
      <c r="M137" s="4"/>
    </row>
    <row r="138" spans="2:13" x14ac:dyDescent="0.3">
      <c r="B138" s="4"/>
      <c r="I138" s="3"/>
      <c r="J138" s="1"/>
      <c r="K138" s="5"/>
      <c r="M138" s="4"/>
    </row>
    <row r="139" spans="2:13" x14ac:dyDescent="0.3">
      <c r="B139" s="4"/>
      <c r="I139" s="3"/>
      <c r="J139" s="1"/>
      <c r="K139" s="5"/>
      <c r="M139" s="4"/>
    </row>
    <row r="140" spans="2:13" x14ac:dyDescent="0.3">
      <c r="B140" s="4"/>
      <c r="I140" s="3"/>
      <c r="J140" s="1"/>
      <c r="K140" s="5"/>
      <c r="M140" s="4"/>
    </row>
    <row r="141" spans="2:13" x14ac:dyDescent="0.3">
      <c r="B141" s="4"/>
      <c r="I141" s="3"/>
      <c r="J141" s="1"/>
      <c r="K141" s="5"/>
      <c r="M141" s="4"/>
    </row>
    <row r="142" spans="2:13" x14ac:dyDescent="0.3">
      <c r="B142" s="4"/>
      <c r="I142" s="3"/>
      <c r="J142" s="1"/>
      <c r="K142" s="5"/>
      <c r="M142" s="4"/>
    </row>
    <row r="143" spans="2:13" x14ac:dyDescent="0.3">
      <c r="B143" s="4"/>
      <c r="I143" s="3"/>
      <c r="J143" s="1"/>
      <c r="K143" s="5"/>
      <c r="M143" s="4"/>
    </row>
    <row r="144" spans="2:13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</row>
    <row r="216" spans="2:22" x14ac:dyDescent="0.3">
      <c r="B216" s="4"/>
      <c r="I216" s="3"/>
      <c r="J216" s="1"/>
      <c r="K216" s="5"/>
      <c r="M216" s="4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</row>
    <row r="220" spans="2:22" x14ac:dyDescent="0.3">
      <c r="B220" s="4"/>
      <c r="I220" s="3"/>
      <c r="J220" s="1"/>
      <c r="K220" s="5"/>
      <c r="M220" s="4"/>
    </row>
    <row r="221" spans="2:22" x14ac:dyDescent="0.3">
      <c r="B221" s="4"/>
      <c r="I221" s="3"/>
      <c r="J221" s="1"/>
      <c r="K221" s="5"/>
      <c r="M221" s="4"/>
      <c r="U221" s="1"/>
      <c r="V221" s="1"/>
    </row>
    <row r="222" spans="2:22" x14ac:dyDescent="0.3">
      <c r="B222" s="4"/>
      <c r="I222" s="3"/>
      <c r="J222" s="1"/>
      <c r="K222" s="5"/>
      <c r="M222" s="4"/>
      <c r="U222" s="1"/>
      <c r="V222" s="1"/>
    </row>
    <row r="223" spans="2:22" x14ac:dyDescent="0.3">
      <c r="B223" s="4"/>
      <c r="I223" s="3"/>
      <c r="J223" s="1"/>
      <c r="K223" s="5"/>
      <c r="M223" s="4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4"/>
    </row>
    <row r="233" spans="2:13" x14ac:dyDescent="0.3">
      <c r="B233" s="4"/>
      <c r="I233" s="3"/>
      <c r="J233" s="1"/>
      <c r="K233" s="5"/>
      <c r="M233" s="4"/>
    </row>
    <row r="234" spans="2:13" x14ac:dyDescent="0.3">
      <c r="B234" s="4"/>
      <c r="I234" s="3"/>
      <c r="J234" s="1"/>
      <c r="K234" s="5"/>
      <c r="M234" s="4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4"/>
    </row>
    <row r="237" spans="2:13" x14ac:dyDescent="0.3">
      <c r="B237" s="4"/>
      <c r="I237" s="3"/>
      <c r="J237" s="1"/>
      <c r="K237" s="5"/>
      <c r="M237" s="4"/>
    </row>
    <row r="238" spans="2:13" x14ac:dyDescent="0.3">
      <c r="B238" s="4"/>
      <c r="I238" s="3"/>
      <c r="J238" s="1"/>
      <c r="K238" s="5"/>
      <c r="M238" s="8"/>
    </row>
    <row r="239" spans="2:13" x14ac:dyDescent="0.3">
      <c r="B239" s="4"/>
      <c r="I239" s="3"/>
      <c r="J239" s="1"/>
      <c r="K239" s="5"/>
      <c r="M239" s="8"/>
    </row>
    <row r="240" spans="2:13" x14ac:dyDescent="0.3">
      <c r="B240" s="4"/>
      <c r="I240" s="3"/>
      <c r="J240" s="1"/>
      <c r="K240" s="5"/>
      <c r="M240" s="8"/>
    </row>
    <row r="241" spans="2:13" x14ac:dyDescent="0.3">
      <c r="B241" s="4"/>
      <c r="I241" s="3"/>
      <c r="J241" s="1"/>
      <c r="K241" s="5"/>
      <c r="M241" s="4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K276" s="5"/>
      <c r="M276" s="4"/>
    </row>
    <row r="277" spans="2:13" x14ac:dyDescent="0.3">
      <c r="B277" s="4"/>
      <c r="I277" s="3"/>
      <c r="J277" s="1"/>
      <c r="K277" s="5"/>
      <c r="M277" s="4"/>
    </row>
    <row r="278" spans="2:13" x14ac:dyDescent="0.3">
      <c r="B278" s="4"/>
      <c r="I278" s="3"/>
      <c r="J278" s="1"/>
      <c r="K278" s="5"/>
      <c r="M278" s="4"/>
    </row>
    <row r="279" spans="2:13" x14ac:dyDescent="0.3">
      <c r="B279" s="4"/>
      <c r="I279" s="3"/>
      <c r="J279" s="1"/>
      <c r="K279" s="5"/>
      <c r="M279" s="4"/>
    </row>
    <row r="280" spans="2:13" x14ac:dyDescent="0.3">
      <c r="B280" s="4"/>
      <c r="I280" s="3"/>
      <c r="J280" s="1"/>
      <c r="K280" s="5"/>
      <c r="M280" s="4"/>
    </row>
    <row r="281" spans="2:13" x14ac:dyDescent="0.3">
      <c r="B281" s="4"/>
      <c r="I281" s="3"/>
      <c r="J281" s="1"/>
      <c r="K281" s="5"/>
      <c r="M281" s="4"/>
    </row>
    <row r="282" spans="2:13" x14ac:dyDescent="0.3">
      <c r="B282" s="4"/>
      <c r="I282" s="3"/>
      <c r="J282" s="1"/>
      <c r="M282" s="4"/>
    </row>
    <row r="283" spans="2:13" x14ac:dyDescent="0.3">
      <c r="B283" s="4"/>
      <c r="I283" s="3"/>
      <c r="J283" s="1"/>
      <c r="M283" s="4"/>
    </row>
    <row r="284" spans="2:13" x14ac:dyDescent="0.3">
      <c r="B284" s="4"/>
      <c r="I284" s="3"/>
      <c r="J284" s="1"/>
      <c r="M284" s="4"/>
    </row>
    <row r="285" spans="2:13" x14ac:dyDescent="0.3">
      <c r="B285" s="4"/>
      <c r="I285" s="3"/>
      <c r="J285" s="1"/>
      <c r="M285" s="4"/>
    </row>
    <row r="286" spans="2:13" x14ac:dyDescent="0.3">
      <c r="B286" s="4"/>
      <c r="I286" s="3"/>
      <c r="J286" s="1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1:10" x14ac:dyDescent="0.3">
      <c r="B289" s="4"/>
      <c r="I289" s="3"/>
      <c r="J289" s="1"/>
    </row>
    <row r="290" spans="1:10" x14ac:dyDescent="0.3">
      <c r="B290" s="4"/>
      <c r="I290" s="3"/>
      <c r="J290" s="1"/>
    </row>
    <row r="291" spans="1:10" x14ac:dyDescent="0.3">
      <c r="B291" s="4"/>
      <c r="I291" s="3"/>
      <c r="J291" s="1"/>
    </row>
    <row r="292" spans="1:10" x14ac:dyDescent="0.3">
      <c r="B292" s="4"/>
      <c r="I292" s="3"/>
      <c r="J292" s="1"/>
    </row>
    <row r="293" spans="1:10" x14ac:dyDescent="0.3">
      <c r="B293" s="4"/>
      <c r="I293" s="3"/>
      <c r="J293" s="1"/>
    </row>
    <row r="294" spans="1:10" x14ac:dyDescent="0.3">
      <c r="B294" s="4"/>
      <c r="I294" s="3"/>
      <c r="J294" s="1"/>
    </row>
    <row r="295" spans="1:10" x14ac:dyDescent="0.3">
      <c r="B295" s="4"/>
      <c r="I295" s="3"/>
      <c r="J295" s="1"/>
    </row>
    <row r="296" spans="1:10" x14ac:dyDescent="0.3">
      <c r="B296" s="4"/>
      <c r="I296" s="3"/>
      <c r="J296" s="1"/>
    </row>
    <row r="297" spans="1:10" x14ac:dyDescent="0.3">
      <c r="B297" s="4"/>
      <c r="I297" s="3"/>
      <c r="J297" s="1"/>
    </row>
    <row r="298" spans="1:10" x14ac:dyDescent="0.3">
      <c r="B298" s="4"/>
      <c r="I298" s="3"/>
      <c r="J298" s="1"/>
    </row>
    <row r="299" spans="1:10" x14ac:dyDescent="0.3">
      <c r="B299" s="4"/>
      <c r="I299" s="3"/>
      <c r="J299" s="1"/>
    </row>
    <row r="300" spans="1:10" x14ac:dyDescent="0.3">
      <c r="B300" s="4"/>
      <c r="I300" s="3"/>
      <c r="J300" s="1"/>
    </row>
    <row r="301" spans="1:10" x14ac:dyDescent="0.3">
      <c r="B301" s="4"/>
      <c r="I301" s="3"/>
      <c r="J301" s="1"/>
    </row>
    <row r="302" spans="1:10" x14ac:dyDescent="0.3">
      <c r="B302" s="4"/>
      <c r="I302" s="3"/>
      <c r="J302" s="1"/>
    </row>
    <row r="303" spans="1:10" x14ac:dyDescent="0.3">
      <c r="B303" s="4"/>
      <c r="I303" s="3"/>
      <c r="J303" s="1"/>
    </row>
    <row r="304" spans="1:10" x14ac:dyDescent="0.3">
      <c r="A304" t="s">
        <v>0</v>
      </c>
      <c r="B304" s="4"/>
      <c r="I304" s="3"/>
      <c r="J304" s="1"/>
    </row>
    <row r="305" spans="2:10" x14ac:dyDescent="0.3">
      <c r="B305" s="4"/>
      <c r="I305" s="3"/>
      <c r="J305" s="1"/>
    </row>
    <row r="306" spans="2:10" x14ac:dyDescent="0.3">
      <c r="B306" s="4"/>
      <c r="I306" s="3"/>
      <c r="J306" s="1"/>
    </row>
    <row r="307" spans="2:10" x14ac:dyDescent="0.3">
      <c r="B307" s="4"/>
      <c r="I307" s="3"/>
      <c r="J307" s="1"/>
    </row>
    <row r="308" spans="2:10" x14ac:dyDescent="0.3">
      <c r="B308" s="4"/>
      <c r="I308" s="3"/>
      <c r="J308" s="1"/>
    </row>
    <row r="309" spans="2:10" x14ac:dyDescent="0.3">
      <c r="B309" s="4"/>
      <c r="I309" s="3"/>
      <c r="J309" s="1"/>
    </row>
    <row r="310" spans="2:10" x14ac:dyDescent="0.3">
      <c r="B310" s="4"/>
      <c r="I310" s="3"/>
      <c r="J310" s="1"/>
    </row>
    <row r="311" spans="2:10" x14ac:dyDescent="0.3">
      <c r="B311" s="4"/>
      <c r="I311" s="3"/>
      <c r="J311" s="1"/>
    </row>
    <row r="312" spans="2:10" x14ac:dyDescent="0.3">
      <c r="B312" s="4"/>
      <c r="I312" s="3"/>
      <c r="J312" s="1"/>
    </row>
    <row r="313" spans="2:10" x14ac:dyDescent="0.3">
      <c r="B313" s="4"/>
      <c r="I313" s="3"/>
      <c r="J313" s="1"/>
    </row>
    <row r="314" spans="2:10" x14ac:dyDescent="0.3">
      <c r="B314" s="4"/>
      <c r="I314" s="3"/>
      <c r="J314" s="1"/>
    </row>
    <row r="315" spans="2:10" x14ac:dyDescent="0.3">
      <c r="B315" s="4"/>
      <c r="I315" s="3"/>
      <c r="J315" s="1"/>
    </row>
    <row r="316" spans="2:10" x14ac:dyDescent="0.3">
      <c r="B316" s="4"/>
      <c r="I316" s="3"/>
      <c r="J316" s="1"/>
    </row>
    <row r="317" spans="2:10" x14ac:dyDescent="0.3">
      <c r="B317" s="4"/>
      <c r="I317" s="3"/>
      <c r="J317" s="1"/>
    </row>
    <row r="318" spans="2:10" x14ac:dyDescent="0.3">
      <c r="B318" s="4"/>
      <c r="I318" s="3"/>
      <c r="J318" s="1"/>
    </row>
    <row r="319" spans="2:10" x14ac:dyDescent="0.3">
      <c r="B319" s="4"/>
      <c r="I319" s="3"/>
      <c r="J319" s="1"/>
    </row>
    <row r="320" spans="2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A344" t="s">
        <v>0</v>
      </c>
      <c r="B344" s="4"/>
      <c r="I344" s="3"/>
      <c r="J344" s="1"/>
    </row>
    <row r="345" spans="1:10" x14ac:dyDescent="0.3"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</row>
    <row r="423" spans="2:15" x14ac:dyDescent="0.3">
      <c r="B423" s="4"/>
      <c r="I423" s="3"/>
      <c r="J423" s="1"/>
    </row>
    <row r="424" spans="2:15" x14ac:dyDescent="0.3">
      <c r="B424" s="4"/>
      <c r="I424" s="3"/>
      <c r="J424" s="1"/>
    </row>
    <row r="425" spans="2:15" x14ac:dyDescent="0.3">
      <c r="B425" s="4"/>
      <c r="I425" s="3"/>
      <c r="J425" s="1"/>
    </row>
    <row r="426" spans="2:15" x14ac:dyDescent="0.3">
      <c r="B426" s="4"/>
      <c r="I426" s="3"/>
      <c r="J426" s="1"/>
    </row>
    <row r="427" spans="2:15" x14ac:dyDescent="0.3">
      <c r="B427" s="4"/>
      <c r="I427" s="3"/>
      <c r="J427" s="1"/>
    </row>
    <row r="428" spans="2:15" x14ac:dyDescent="0.3">
      <c r="B428" s="4"/>
      <c r="I428" s="3"/>
      <c r="J428" s="1"/>
      <c r="M428" s="7"/>
      <c r="N428" s="7"/>
      <c r="O428" s="7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7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7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8"/>
      <c r="O447" s="7"/>
    </row>
    <row r="448" spans="2:15" x14ac:dyDescent="0.3">
      <c r="B448" s="4"/>
      <c r="I448" s="3"/>
      <c r="J448" s="1"/>
      <c r="M448" s="7"/>
      <c r="N448" s="7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  <c r="M470" s="7"/>
      <c r="N470" s="7"/>
      <c r="O470" s="7"/>
    </row>
    <row r="471" spans="2:15" x14ac:dyDescent="0.3">
      <c r="B471" s="4"/>
      <c r="I471" s="3"/>
      <c r="J471" s="1"/>
      <c r="M471" s="7"/>
      <c r="N471" s="7"/>
      <c r="O471" s="7"/>
    </row>
    <row r="472" spans="2:15" x14ac:dyDescent="0.3">
      <c r="B472" s="4"/>
      <c r="I472" s="3"/>
      <c r="J472" s="1"/>
      <c r="M472" s="7"/>
      <c r="N472" s="7"/>
      <c r="O472" s="7"/>
    </row>
    <row r="473" spans="2:15" x14ac:dyDescent="0.3">
      <c r="B473" s="4"/>
      <c r="I473" s="3"/>
      <c r="J473" s="1"/>
      <c r="M473" s="7"/>
      <c r="N473" s="7"/>
      <c r="O473" s="7"/>
    </row>
    <row r="474" spans="2:15" x14ac:dyDescent="0.3">
      <c r="B474" s="4"/>
      <c r="I474" s="3"/>
      <c r="J474" s="1"/>
      <c r="M474" s="7"/>
      <c r="N474" s="7"/>
      <c r="O474" s="7"/>
    </row>
    <row r="475" spans="2:15" x14ac:dyDescent="0.3">
      <c r="B475" s="4"/>
      <c r="I475" s="3"/>
      <c r="J475" s="1"/>
      <c r="M475" s="7"/>
      <c r="N475" s="7"/>
      <c r="O475" s="7"/>
    </row>
    <row r="476" spans="2:15" x14ac:dyDescent="0.3">
      <c r="B476" s="4"/>
      <c r="I476" s="3"/>
      <c r="J476" s="1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A683" t="s">
        <v>0</v>
      </c>
      <c r="B683" s="4"/>
      <c r="I683" s="3"/>
      <c r="J683" s="1"/>
    </row>
    <row r="684" spans="1:10" x14ac:dyDescent="0.3"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A689" t="s">
        <v>0</v>
      </c>
      <c r="B689" s="4"/>
      <c r="I689" s="3"/>
      <c r="J689" s="1"/>
    </row>
    <row r="690" spans="1:10" x14ac:dyDescent="0.3"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A695" t="s">
        <v>0</v>
      </c>
      <c r="B695" s="4"/>
      <c r="I695" s="3"/>
      <c r="J695" s="1"/>
    </row>
    <row r="696" spans="1:10" x14ac:dyDescent="0.3"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A701" t="s">
        <v>0</v>
      </c>
      <c r="B701" s="4"/>
      <c r="I701" s="3"/>
      <c r="J701" s="1"/>
    </row>
    <row r="702" spans="1:10" x14ac:dyDescent="0.3"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A707" t="s">
        <v>0</v>
      </c>
      <c r="B707" s="4"/>
      <c r="I707" s="3"/>
      <c r="J707" s="1"/>
    </row>
    <row r="708" spans="1:10" x14ac:dyDescent="0.3"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A713" t="s">
        <v>0</v>
      </c>
      <c r="B713" s="4"/>
      <c r="I713" s="3"/>
      <c r="J713" s="1"/>
    </row>
    <row r="714" spans="1:10" x14ac:dyDescent="0.3"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2:10" x14ac:dyDescent="0.3">
      <c r="B721" s="4"/>
      <c r="I721" s="3"/>
      <c r="J721" s="1"/>
    </row>
    <row r="722" spans="2:10" x14ac:dyDescent="0.3">
      <c r="B722" s="4"/>
      <c r="I722" s="3"/>
      <c r="J722" s="1"/>
    </row>
    <row r="723" spans="2:10" x14ac:dyDescent="0.3">
      <c r="B723" s="4"/>
      <c r="I723" s="3"/>
      <c r="J723" s="1"/>
    </row>
    <row r="724" spans="2:10" x14ac:dyDescent="0.3">
      <c r="B724" s="4"/>
      <c r="I724" s="3"/>
      <c r="J724" s="1"/>
    </row>
    <row r="725" spans="2:10" x14ac:dyDescent="0.3">
      <c r="B725" s="4"/>
      <c r="I725" s="3"/>
      <c r="J725" s="1"/>
    </row>
    <row r="726" spans="2:10" x14ac:dyDescent="0.3">
      <c r="B726" s="4"/>
      <c r="I726" s="3"/>
      <c r="J726" s="1"/>
    </row>
    <row r="727" spans="2:10" x14ac:dyDescent="0.3">
      <c r="B727" s="4"/>
      <c r="I727" s="3"/>
      <c r="J727" s="1"/>
    </row>
    <row r="728" spans="2:10" x14ac:dyDescent="0.3">
      <c r="B728" s="4"/>
      <c r="I728" s="3"/>
      <c r="J728" s="1"/>
    </row>
    <row r="729" spans="2:10" x14ac:dyDescent="0.3">
      <c r="B729" s="4"/>
      <c r="I729" s="3"/>
      <c r="J729" s="1"/>
    </row>
    <row r="730" spans="2:10" x14ac:dyDescent="0.3">
      <c r="B730" s="4"/>
      <c r="I730" s="3"/>
      <c r="J730" s="1"/>
    </row>
    <row r="731" spans="2:10" x14ac:dyDescent="0.3">
      <c r="B731" s="4"/>
      <c r="I731" s="3"/>
      <c r="J731" s="1"/>
    </row>
    <row r="732" spans="2:10" x14ac:dyDescent="0.3">
      <c r="B732" s="4"/>
      <c r="I732" s="3"/>
      <c r="J732" s="1"/>
    </row>
    <row r="733" spans="2:10" x14ac:dyDescent="0.3">
      <c r="B733" s="4"/>
      <c r="I733" s="3"/>
      <c r="J733" s="1"/>
    </row>
    <row r="734" spans="2:10" x14ac:dyDescent="0.3">
      <c r="B734" s="4"/>
      <c r="I734" s="3"/>
      <c r="J734" s="1"/>
    </row>
    <row r="735" spans="2:10" x14ac:dyDescent="0.3">
      <c r="B735" s="4"/>
      <c r="I735" s="3"/>
      <c r="J735" s="1"/>
    </row>
    <row r="736" spans="2:10" x14ac:dyDescent="0.3">
      <c r="B736" s="4"/>
      <c r="I736" s="3"/>
      <c r="J736" s="1"/>
    </row>
    <row r="737" spans="1:10" x14ac:dyDescent="0.3">
      <c r="A737" t="s">
        <v>0</v>
      </c>
      <c r="B737" s="4"/>
      <c r="I737" s="3"/>
      <c r="J737" s="1"/>
    </row>
    <row r="738" spans="1:10" x14ac:dyDescent="0.3">
      <c r="B738" s="4"/>
      <c r="I738" s="3"/>
      <c r="J738" s="1"/>
    </row>
    <row r="739" spans="1:10" x14ac:dyDescent="0.3">
      <c r="B739" s="4"/>
      <c r="I739" s="3"/>
      <c r="J739" s="1"/>
    </row>
    <row r="740" spans="1:10" x14ac:dyDescent="0.3">
      <c r="B740" s="4"/>
      <c r="I740" s="3"/>
      <c r="J740" s="1"/>
    </row>
    <row r="741" spans="1:10" x14ac:dyDescent="0.3">
      <c r="B741" s="4"/>
      <c r="I741" s="3"/>
      <c r="J741" s="1"/>
    </row>
    <row r="742" spans="1:10" x14ac:dyDescent="0.3">
      <c r="B742" s="4"/>
      <c r="I742" s="3"/>
      <c r="J742" s="1"/>
    </row>
    <row r="743" spans="1:10" x14ac:dyDescent="0.3">
      <c r="B743" s="4"/>
      <c r="I743" s="3"/>
      <c r="J743" s="1"/>
    </row>
    <row r="744" spans="1:10" x14ac:dyDescent="0.3">
      <c r="B744" s="4"/>
      <c r="I744" s="3"/>
      <c r="J744" s="1"/>
    </row>
    <row r="745" spans="1:10" x14ac:dyDescent="0.3">
      <c r="B745" s="4"/>
      <c r="I745" s="3"/>
      <c r="J745" s="1"/>
    </row>
    <row r="746" spans="1:10" x14ac:dyDescent="0.3">
      <c r="B746" s="4"/>
      <c r="I746" s="3"/>
      <c r="J746" s="1"/>
    </row>
    <row r="747" spans="1:10" x14ac:dyDescent="0.3">
      <c r="B747" s="4"/>
      <c r="I747" s="3"/>
      <c r="J747" s="1"/>
    </row>
    <row r="748" spans="1:10" x14ac:dyDescent="0.3">
      <c r="B748" s="4"/>
      <c r="I748" s="3"/>
      <c r="J748" s="1"/>
    </row>
    <row r="749" spans="1:10" x14ac:dyDescent="0.3">
      <c r="B749" s="4"/>
      <c r="I749" s="3"/>
      <c r="J749" s="1"/>
    </row>
    <row r="750" spans="1:10" x14ac:dyDescent="0.3">
      <c r="B750" s="4"/>
      <c r="I750" s="3"/>
      <c r="J750" s="1"/>
    </row>
    <row r="751" spans="1:10" x14ac:dyDescent="0.3">
      <c r="B751" s="4"/>
      <c r="I751" s="3"/>
      <c r="J751" s="1"/>
    </row>
    <row r="752" spans="1:10" x14ac:dyDescent="0.3">
      <c r="B752" s="4"/>
      <c r="I752" s="3"/>
      <c r="J752" s="1"/>
    </row>
    <row r="753" spans="1:10" x14ac:dyDescent="0.3">
      <c r="B753" s="4"/>
      <c r="I753" s="3"/>
      <c r="J753" s="1"/>
    </row>
    <row r="754" spans="1:10" x14ac:dyDescent="0.3">
      <c r="B754" s="4"/>
      <c r="I754" s="3"/>
      <c r="J754" s="1"/>
    </row>
    <row r="755" spans="1:10" x14ac:dyDescent="0.3">
      <c r="A755" t="s">
        <v>0</v>
      </c>
      <c r="B755" s="4"/>
      <c r="I755" s="3"/>
      <c r="J755" s="1"/>
    </row>
    <row r="756" spans="1:10" x14ac:dyDescent="0.3">
      <c r="B756" s="4"/>
      <c r="I756" s="3"/>
      <c r="J756" s="1"/>
    </row>
    <row r="757" spans="1:10" x14ac:dyDescent="0.3">
      <c r="B757" s="4"/>
      <c r="I757" s="3"/>
      <c r="J757" s="1"/>
    </row>
    <row r="758" spans="1:10" x14ac:dyDescent="0.3">
      <c r="B758" s="4"/>
      <c r="I758" s="3"/>
      <c r="J758" s="1"/>
    </row>
    <row r="759" spans="1:10" x14ac:dyDescent="0.3">
      <c r="B759" s="4"/>
      <c r="I759" s="3"/>
      <c r="J759" s="1"/>
    </row>
    <row r="760" spans="1:10" x14ac:dyDescent="0.3">
      <c r="B760" s="4"/>
      <c r="I760" s="3"/>
      <c r="J760" s="1"/>
    </row>
    <row r="761" spans="1:10" x14ac:dyDescent="0.3">
      <c r="B761" s="4"/>
      <c r="I761" s="3"/>
      <c r="J761" s="1"/>
    </row>
    <row r="762" spans="1:10" x14ac:dyDescent="0.3">
      <c r="B762" s="4"/>
      <c r="I762" s="3"/>
      <c r="J762" s="1"/>
    </row>
    <row r="763" spans="1:10" x14ac:dyDescent="0.3">
      <c r="B763" s="4"/>
      <c r="I763" s="3"/>
      <c r="J763" s="1"/>
    </row>
    <row r="764" spans="1:10" x14ac:dyDescent="0.3">
      <c r="B764" s="4"/>
      <c r="I764" s="3"/>
      <c r="J764" s="1"/>
    </row>
    <row r="765" spans="1:10" x14ac:dyDescent="0.3">
      <c r="B765" s="4"/>
      <c r="I765" s="3"/>
      <c r="J765" s="1"/>
    </row>
    <row r="766" spans="1:10" x14ac:dyDescent="0.3">
      <c r="B766" s="4"/>
      <c r="I766" s="3"/>
      <c r="J766" s="1"/>
    </row>
    <row r="767" spans="1:10" x14ac:dyDescent="0.3">
      <c r="B767" s="4"/>
      <c r="I767" s="3"/>
      <c r="J767" s="1"/>
    </row>
    <row r="768" spans="1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B785" s="4"/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B789" s="4"/>
      <c r="I789" s="3"/>
      <c r="J789" s="1"/>
    </row>
    <row r="790" spans="2:10" x14ac:dyDescent="0.3">
      <c r="B790" s="4"/>
      <c r="I790" s="3"/>
      <c r="J790" s="1"/>
    </row>
    <row r="791" spans="2:10" x14ac:dyDescent="0.3">
      <c r="I791" s="3"/>
      <c r="J791" s="1"/>
    </row>
    <row r="792" spans="2:10" x14ac:dyDescent="0.3">
      <c r="B792" s="4"/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G803" s="4"/>
      <c r="I803" s="3"/>
      <c r="J803" s="1"/>
    </row>
    <row r="804" spans="2:10" x14ac:dyDescent="0.3">
      <c r="B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  <row r="825" spans="2:10" x14ac:dyDescent="0.3">
      <c r="B825" s="4"/>
      <c r="I825" s="3"/>
      <c r="J825" s="1"/>
    </row>
    <row r="826" spans="2:10" x14ac:dyDescent="0.3">
      <c r="B826" s="4"/>
      <c r="I826" s="3"/>
      <c r="J826" s="1"/>
    </row>
    <row r="827" spans="2:10" x14ac:dyDescent="0.3">
      <c r="B827" s="4"/>
      <c r="I827" s="3"/>
      <c r="J827" s="1"/>
    </row>
    <row r="828" spans="2:10" x14ac:dyDescent="0.3">
      <c r="B828" s="4"/>
      <c r="I828" s="3"/>
      <c r="J828" s="1"/>
    </row>
    <row r="829" spans="2:10" x14ac:dyDescent="0.3">
      <c r="B829" s="4"/>
      <c r="I829" s="3"/>
      <c r="J829" s="1"/>
    </row>
    <row r="830" spans="2:10" x14ac:dyDescent="0.3">
      <c r="B830" s="4"/>
      <c r="I830" s="3"/>
      <c r="J830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 DE DATOS RIVIAN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Gregorio, Alma</cp:lastModifiedBy>
  <dcterms:created xsi:type="dcterms:W3CDTF">2026-04-26T20:21:46Z</dcterms:created>
  <dcterms:modified xsi:type="dcterms:W3CDTF">2026-07-26T08:02:23Z</dcterms:modified>
</cp:coreProperties>
</file>